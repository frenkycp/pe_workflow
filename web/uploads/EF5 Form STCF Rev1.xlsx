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5. Project PE\1. FCA\STCF\"/>
    </mc:Choice>
  </mc:AlternateContent>
  <xr:revisionPtr revIDLastSave="0" documentId="13_ncr:1_{A0698E2B-4570-40E3-A7A7-F27B55018B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 1" sheetId="10" r:id="rId1"/>
    <sheet name="Resume STCF" sheetId="8" state="hidden" r:id="rId2"/>
    <sheet name="STCF " sheetId="3" r:id="rId3"/>
    <sheet name="STCF MP" sheetId="11" state="hidden" r:id="rId4"/>
    <sheet name="Data mesin Mtnc" sheetId="2" state="hidden" r:id="rId5"/>
    <sheet name="PIVOT2" sheetId="7" state="hidden" r:id="rId6"/>
    <sheet name="Data" sheetId="4" state="hidden" r:id="rId7"/>
    <sheet name="Sheet4" sheetId="6" state="hidden" r:id="rId8"/>
  </sheets>
  <definedNames>
    <definedName name="_xlnm._FilterDatabase" localSheetId="2" hidden="1">'STCF '!$A$6:$P$84</definedName>
    <definedName name="_xlnm._FilterDatabase" localSheetId="3" hidden="1">'STCF MP'!$A$6:$P$84</definedName>
    <definedName name="_xlnm.Print_Area" localSheetId="0">'COVER 1'!$A$1:$AH$56</definedName>
    <definedName name="_xlnm.Print_Area" localSheetId="1">'Resume STCF'!$A$1:$L$88</definedName>
    <definedName name="_xlnm.Print_Area" localSheetId="2">'STCF '!$A$1:$P$125</definedName>
    <definedName name="_xlnm.Print_Area" localSheetId="3">'STCF MP'!$A$1:$P$125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1" i="3" l="1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5" i="3"/>
  <c r="G26" i="3"/>
  <c r="G27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8" i="3"/>
  <c r="G10" i="3"/>
  <c r="G9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1" i="3"/>
  <c r="P9" i="3"/>
  <c r="P8" i="3"/>
  <c r="P10" i="3"/>
  <c r="O10" i="3"/>
  <c r="O1" i="3"/>
  <c r="C3" i="3"/>
  <c r="C2" i="3"/>
  <c r="Q8" i="3"/>
  <c r="O11" i="3" l="1"/>
  <c r="O9" i="3"/>
  <c r="O8" i="3"/>
  <c r="Q9" i="3"/>
  <c r="Q10" i="3"/>
  <c r="Q11" i="3"/>
  <c r="Q7" i="3" l="1"/>
  <c r="J11" i="11"/>
  <c r="P11" i="11" s="1"/>
  <c r="J10" i="11"/>
  <c r="P10" i="11" s="1"/>
  <c r="J9" i="11"/>
  <c r="P9" i="11" s="1"/>
  <c r="J8" i="11"/>
  <c r="P8" i="11" s="1"/>
  <c r="P125" i="11"/>
  <c r="O125" i="11"/>
  <c r="P124" i="11"/>
  <c r="O124" i="11"/>
  <c r="P123" i="11"/>
  <c r="O123" i="11"/>
  <c r="P122" i="11"/>
  <c r="O122" i="11"/>
  <c r="P121" i="11"/>
  <c r="O121" i="11"/>
  <c r="P120" i="11"/>
  <c r="O120" i="11"/>
  <c r="P119" i="11"/>
  <c r="O119" i="11"/>
  <c r="P118" i="11"/>
  <c r="O118" i="11"/>
  <c r="P117" i="11"/>
  <c r="O117" i="11"/>
  <c r="P116" i="11"/>
  <c r="O116" i="11"/>
  <c r="P115" i="11"/>
  <c r="O115" i="11"/>
  <c r="P114" i="11"/>
  <c r="O114" i="11"/>
  <c r="P113" i="11"/>
  <c r="O113" i="11"/>
  <c r="P112" i="11"/>
  <c r="O112" i="11"/>
  <c r="P111" i="11"/>
  <c r="O111" i="11"/>
  <c r="P110" i="11"/>
  <c r="O110" i="11"/>
  <c r="P109" i="11"/>
  <c r="O109" i="11"/>
  <c r="P108" i="11"/>
  <c r="O108" i="11"/>
  <c r="P107" i="11"/>
  <c r="O107" i="11"/>
  <c r="P106" i="11"/>
  <c r="O106" i="11"/>
  <c r="P105" i="11"/>
  <c r="O105" i="11"/>
  <c r="P104" i="11"/>
  <c r="O104" i="11"/>
  <c r="P103" i="11"/>
  <c r="O103" i="11"/>
  <c r="P102" i="11"/>
  <c r="O102" i="11"/>
  <c r="P101" i="11"/>
  <c r="O101" i="11"/>
  <c r="P100" i="11"/>
  <c r="O100" i="11"/>
  <c r="P99" i="11"/>
  <c r="O99" i="11"/>
  <c r="P98" i="11"/>
  <c r="O98" i="11"/>
  <c r="P97" i="11"/>
  <c r="O97" i="11"/>
  <c r="P96" i="11"/>
  <c r="O96" i="11"/>
  <c r="P95" i="11"/>
  <c r="O95" i="11"/>
  <c r="P94" i="11"/>
  <c r="O94" i="11"/>
  <c r="P93" i="11"/>
  <c r="O93" i="11"/>
  <c r="P92" i="11"/>
  <c r="O92" i="11"/>
  <c r="P91" i="11"/>
  <c r="O91" i="11"/>
  <c r="P90" i="11"/>
  <c r="O90" i="11"/>
  <c r="P89" i="11"/>
  <c r="O89" i="11"/>
  <c r="P88" i="11"/>
  <c r="O88" i="11"/>
  <c r="P87" i="11"/>
  <c r="O87" i="11"/>
  <c r="P86" i="11"/>
  <c r="O86" i="11"/>
  <c r="P85" i="11"/>
  <c r="O85" i="11"/>
  <c r="J84" i="11"/>
  <c r="P84" i="11" s="1"/>
  <c r="J83" i="11"/>
  <c r="O83" i="11" s="1"/>
  <c r="J82" i="11"/>
  <c r="P82" i="11" s="1"/>
  <c r="J81" i="11"/>
  <c r="P81" i="11" s="1"/>
  <c r="J80" i="11"/>
  <c r="O80" i="11" s="1"/>
  <c r="J79" i="11"/>
  <c r="P79" i="11" s="1"/>
  <c r="J78" i="11"/>
  <c r="P78" i="11" s="1"/>
  <c r="J77" i="11"/>
  <c r="P77" i="11" s="1"/>
  <c r="J76" i="11"/>
  <c r="P76" i="11" s="1"/>
  <c r="J75" i="11"/>
  <c r="O75" i="11" s="1"/>
  <c r="J74" i="11"/>
  <c r="P74" i="11" s="1"/>
  <c r="J73" i="11"/>
  <c r="P73" i="11" s="1"/>
  <c r="J72" i="11"/>
  <c r="O72" i="11" s="1"/>
  <c r="J71" i="11"/>
  <c r="P71" i="11" s="1"/>
  <c r="J70" i="11"/>
  <c r="P70" i="11" s="1"/>
  <c r="J69" i="11"/>
  <c r="O69" i="11" s="1"/>
  <c r="J68" i="11"/>
  <c r="P68" i="11" s="1"/>
  <c r="J67" i="11"/>
  <c r="O67" i="11" s="1"/>
  <c r="J66" i="11"/>
  <c r="P66" i="11" s="1"/>
  <c r="J63" i="11"/>
  <c r="P63" i="11" s="1"/>
  <c r="J62" i="11"/>
  <c r="O62" i="11" s="1"/>
  <c r="J61" i="11"/>
  <c r="P61" i="11" s="1"/>
  <c r="J60" i="11"/>
  <c r="P60" i="11" s="1"/>
  <c r="J59" i="11"/>
  <c r="P59" i="11" s="1"/>
  <c r="J58" i="11"/>
  <c r="P58" i="11" s="1"/>
  <c r="J57" i="11"/>
  <c r="O57" i="11" s="1"/>
  <c r="J56" i="11"/>
  <c r="P56" i="11" s="1"/>
  <c r="J55" i="11"/>
  <c r="P55" i="11" s="1"/>
  <c r="J54" i="11"/>
  <c r="O54" i="11" s="1"/>
  <c r="J53" i="11"/>
  <c r="P53" i="11" s="1"/>
  <c r="J52" i="11"/>
  <c r="P52" i="11" s="1"/>
  <c r="J51" i="11"/>
  <c r="P51" i="11" s="1"/>
  <c r="J50" i="11"/>
  <c r="P50" i="11" s="1"/>
  <c r="J49" i="11"/>
  <c r="O49" i="11" s="1"/>
  <c r="J48" i="11"/>
  <c r="P48" i="11" s="1"/>
  <c r="J47" i="11"/>
  <c r="P47" i="11" s="1"/>
  <c r="J46" i="11"/>
  <c r="O46" i="11" s="1"/>
  <c r="J45" i="11"/>
  <c r="P45" i="11" s="1"/>
  <c r="J44" i="11"/>
  <c r="P44" i="11" s="1"/>
  <c r="J43" i="11"/>
  <c r="P43" i="11" s="1"/>
  <c r="J42" i="11"/>
  <c r="O42" i="11" s="1"/>
  <c r="J41" i="11"/>
  <c r="O41" i="11" s="1"/>
  <c r="J40" i="11"/>
  <c r="P40" i="11" s="1"/>
  <c r="J39" i="11"/>
  <c r="O39" i="11" s="1"/>
  <c r="J38" i="11"/>
  <c r="P38" i="11" s="1"/>
  <c r="J37" i="11"/>
  <c r="P37" i="11" s="1"/>
  <c r="J36" i="11"/>
  <c r="P36" i="11" s="1"/>
  <c r="J35" i="11"/>
  <c r="P35" i="11" s="1"/>
  <c r="J34" i="11"/>
  <c r="O34" i="11" s="1"/>
  <c r="J33" i="11"/>
  <c r="P33" i="11" s="1"/>
  <c r="J32" i="11"/>
  <c r="P32" i="11" s="1"/>
  <c r="J31" i="11"/>
  <c r="O31" i="11" s="1"/>
  <c r="J30" i="11"/>
  <c r="O30" i="11" s="1"/>
  <c r="J29" i="11"/>
  <c r="O29" i="11" s="1"/>
  <c r="J28" i="11"/>
  <c r="O28" i="11" s="1"/>
  <c r="J27" i="11"/>
  <c r="P27" i="11" s="1"/>
  <c r="J26" i="11"/>
  <c r="P26" i="11" s="1"/>
  <c r="J25" i="11"/>
  <c r="P25" i="11" s="1"/>
  <c r="J24" i="11"/>
  <c r="P24" i="11" s="1"/>
  <c r="J23" i="11"/>
  <c r="P23" i="11" s="1"/>
  <c r="J22" i="11"/>
  <c r="O22" i="11" s="1"/>
  <c r="J21" i="11"/>
  <c r="P21" i="11" s="1"/>
  <c r="J20" i="11"/>
  <c r="P20" i="11" s="1"/>
  <c r="J19" i="11"/>
  <c r="P19" i="11" s="1"/>
  <c r="J18" i="11"/>
  <c r="O18" i="11" s="1"/>
  <c r="J17" i="11"/>
  <c r="O17" i="11" s="1"/>
  <c r="J16" i="11"/>
  <c r="P16" i="11" s="1"/>
  <c r="J15" i="11"/>
  <c r="O15" i="11" s="1"/>
  <c r="J14" i="11"/>
  <c r="P14" i="11" s="1"/>
  <c r="J13" i="11"/>
  <c r="P13" i="11" s="1"/>
  <c r="J12" i="11"/>
  <c r="P12" i="11" s="1"/>
  <c r="B3" i="11"/>
  <c r="B2" i="11"/>
  <c r="O1" i="11"/>
  <c r="Y10" i="10"/>
  <c r="C4" i="3" s="1"/>
  <c r="O78" i="11" l="1"/>
  <c r="O68" i="11"/>
  <c r="P49" i="11"/>
  <c r="O79" i="11"/>
  <c r="P41" i="11"/>
  <c r="O50" i="11"/>
  <c r="O25" i="11"/>
  <c r="O61" i="11"/>
  <c r="P72" i="11"/>
  <c r="P42" i="11"/>
  <c r="P83" i="11"/>
  <c r="O33" i="11"/>
  <c r="O60" i="11"/>
  <c r="P18" i="11"/>
  <c r="O37" i="11"/>
  <c r="O45" i="11"/>
  <c r="P54" i="11"/>
  <c r="O13" i="11"/>
  <c r="O21" i="11"/>
  <c r="P67" i="11"/>
  <c r="P17" i="11"/>
  <c r="P29" i="11"/>
  <c r="O84" i="11"/>
  <c r="P30" i="11"/>
  <c r="P22" i="11"/>
  <c r="P34" i="11"/>
  <c r="P46" i="11"/>
  <c r="O52" i="11"/>
  <c r="P57" i="11"/>
  <c r="P62" i="11"/>
  <c r="O70" i="11"/>
  <c r="P75" i="11"/>
  <c r="P80" i="11"/>
  <c r="O71" i="11"/>
  <c r="B4" i="11"/>
  <c r="O53" i="11"/>
  <c r="O58" i="11"/>
  <c r="O76" i="11"/>
  <c r="O48" i="11"/>
  <c r="O66" i="11"/>
  <c r="O82" i="11"/>
  <c r="O14" i="11"/>
  <c r="O26" i="11"/>
  <c r="O38" i="11"/>
  <c r="O56" i="11"/>
  <c r="O74" i="11"/>
  <c r="O8" i="11"/>
  <c r="O9" i="11"/>
  <c r="O10" i="11"/>
  <c r="O11" i="11"/>
  <c r="O19" i="11"/>
  <c r="O47" i="11"/>
  <c r="O40" i="11"/>
  <c r="O23" i="11"/>
  <c r="O27" i="11"/>
  <c r="O35" i="11"/>
  <c r="O43" i="11"/>
  <c r="O51" i="11"/>
  <c r="O55" i="11"/>
  <c r="O59" i="11"/>
  <c r="O63" i="11"/>
  <c r="O73" i="11"/>
  <c r="O77" i="11"/>
  <c r="O81" i="11"/>
  <c r="P15" i="11"/>
  <c r="P31" i="11"/>
  <c r="P39" i="11"/>
  <c r="P69" i="11"/>
  <c r="O12" i="11"/>
  <c r="O16" i="11"/>
  <c r="O20" i="11"/>
  <c r="O24" i="11"/>
  <c r="O32" i="11"/>
  <c r="O36" i="11"/>
  <c r="O44" i="11"/>
  <c r="P28" i="11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O105" i="3"/>
  <c r="P105" i="3"/>
  <c r="O85" i="3"/>
  <c r="P85" i="3"/>
  <c r="O86" i="3"/>
  <c r="P86" i="3"/>
  <c r="O87" i="3"/>
  <c r="P87" i="3"/>
  <c r="O88" i="3"/>
  <c r="P88" i="3"/>
  <c r="O89" i="3"/>
  <c r="P89" i="3"/>
  <c r="O90" i="3"/>
  <c r="P90" i="3"/>
  <c r="O91" i="3"/>
  <c r="P91" i="3"/>
  <c r="O92" i="3"/>
  <c r="P92" i="3"/>
  <c r="O93" i="3"/>
  <c r="P93" i="3"/>
  <c r="O94" i="3"/>
  <c r="P94" i="3"/>
  <c r="O95" i="3"/>
  <c r="P95" i="3"/>
  <c r="O96" i="3"/>
  <c r="P96" i="3"/>
  <c r="O97" i="3"/>
  <c r="P97" i="3"/>
  <c r="O98" i="3"/>
  <c r="P98" i="3"/>
  <c r="O99" i="3"/>
  <c r="P99" i="3"/>
  <c r="O100" i="3"/>
  <c r="P100" i="3"/>
  <c r="O101" i="3"/>
  <c r="P101" i="3"/>
  <c r="O102" i="3"/>
  <c r="P102" i="3"/>
  <c r="O103" i="3"/>
  <c r="P103" i="3"/>
  <c r="O104" i="3"/>
  <c r="P104" i="3"/>
  <c r="O66" i="3" l="1"/>
  <c r="O67" i="3"/>
  <c r="O68" i="3"/>
  <c r="O69" i="3"/>
  <c r="P70" i="3"/>
  <c r="P71" i="3"/>
  <c r="P72" i="3"/>
  <c r="P73" i="3"/>
  <c r="P74" i="3"/>
  <c r="P75" i="3"/>
  <c r="O76" i="3"/>
  <c r="O77" i="3"/>
  <c r="O78" i="3"/>
  <c r="O79" i="3"/>
  <c r="O80" i="3"/>
  <c r="O81" i="3"/>
  <c r="P82" i="3"/>
  <c r="P83" i="3"/>
  <c r="P84" i="3"/>
  <c r="P59" i="3" l="1"/>
  <c r="O59" i="3"/>
  <c r="O17" i="3"/>
  <c r="P17" i="3"/>
  <c r="O52" i="3"/>
  <c r="P52" i="3"/>
  <c r="O40" i="3"/>
  <c r="P40" i="3"/>
  <c r="O28" i="3"/>
  <c r="P28" i="3"/>
  <c r="O16" i="3"/>
  <c r="P16" i="3"/>
  <c r="P58" i="3"/>
  <c r="O58" i="3"/>
  <c r="O19" i="3"/>
  <c r="P19" i="3"/>
  <c r="P23" i="3"/>
  <c r="O23" i="3"/>
  <c r="P46" i="3"/>
  <c r="O46" i="3"/>
  <c r="P22" i="3"/>
  <c r="O22" i="3"/>
  <c r="P45" i="3"/>
  <c r="O45" i="3"/>
  <c r="P33" i="3"/>
  <c r="O33" i="3"/>
  <c r="P56" i="3"/>
  <c r="O56" i="3"/>
  <c r="P44" i="3"/>
  <c r="O44" i="3"/>
  <c r="O43" i="3"/>
  <c r="P43" i="3"/>
  <c r="O31" i="3"/>
  <c r="P31" i="3"/>
  <c r="O42" i="3"/>
  <c r="P42" i="3"/>
  <c r="O29" i="3"/>
  <c r="P29" i="3"/>
  <c r="P63" i="3"/>
  <c r="O63" i="3"/>
  <c r="P51" i="3"/>
  <c r="O51" i="3"/>
  <c r="P27" i="3"/>
  <c r="O27" i="3"/>
  <c r="P15" i="3"/>
  <c r="O15" i="3"/>
  <c r="O62" i="3"/>
  <c r="P62" i="3"/>
  <c r="O50" i="3"/>
  <c r="P50" i="3"/>
  <c r="P38" i="3"/>
  <c r="O38" i="3"/>
  <c r="O26" i="3"/>
  <c r="P26" i="3"/>
  <c r="O14" i="3"/>
  <c r="P14" i="3"/>
  <c r="P47" i="3"/>
  <c r="O47" i="3"/>
  <c r="P35" i="3"/>
  <c r="O35" i="3"/>
  <c r="P34" i="3"/>
  <c r="O34" i="3"/>
  <c r="P57" i="3"/>
  <c r="O57" i="3"/>
  <c r="P21" i="3"/>
  <c r="O21" i="3"/>
  <c r="P32" i="3"/>
  <c r="O32" i="3"/>
  <c r="O55" i="3"/>
  <c r="P55" i="3"/>
  <c r="O54" i="3"/>
  <c r="P54" i="3"/>
  <c r="O18" i="3"/>
  <c r="P18" i="3"/>
  <c r="O41" i="3"/>
  <c r="P41" i="3"/>
  <c r="O39" i="3"/>
  <c r="P39" i="3"/>
  <c r="O61" i="3"/>
  <c r="P61" i="3"/>
  <c r="P49" i="3"/>
  <c r="O49" i="3"/>
  <c r="O37" i="3"/>
  <c r="P37" i="3"/>
  <c r="P25" i="3"/>
  <c r="O25" i="3"/>
  <c r="O13" i="3"/>
  <c r="P13" i="3"/>
  <c r="P20" i="3"/>
  <c r="O20" i="3"/>
  <c r="O30" i="3"/>
  <c r="P30" i="3"/>
  <c r="O53" i="3"/>
  <c r="P53" i="3"/>
  <c r="P60" i="3"/>
  <c r="O60" i="3"/>
  <c r="P48" i="3"/>
  <c r="O48" i="3"/>
  <c r="P36" i="3"/>
  <c r="O36" i="3"/>
  <c r="P24" i="3"/>
  <c r="O24" i="3"/>
  <c r="P12" i="3"/>
  <c r="O12" i="3"/>
  <c r="O70" i="3"/>
  <c r="P69" i="3"/>
  <c r="O73" i="3"/>
  <c r="O72" i="3"/>
  <c r="P68" i="3"/>
  <c r="P67" i="3"/>
  <c r="O71" i="3"/>
  <c r="P66" i="3"/>
  <c r="O82" i="3"/>
  <c r="P81" i="3"/>
  <c r="P80" i="3"/>
  <c r="O83" i="3"/>
  <c r="P79" i="3"/>
  <c r="O84" i="3"/>
  <c r="P78" i="3"/>
  <c r="P77" i="3"/>
  <c r="O75" i="3"/>
  <c r="O74" i="3"/>
  <c r="P76" i="3"/>
  <c r="F99" i="4" l="1"/>
  <c r="F75" i="4" l="1"/>
  <c r="F74" i="4"/>
  <c r="F27" i="4"/>
  <c r="F83" i="4"/>
  <c r="F17" i="4"/>
  <c r="F58" i="4"/>
  <c r="F64" i="4"/>
  <c r="F51" i="4"/>
  <c r="F63" i="4"/>
  <c r="F81" i="4"/>
  <c r="F93" i="4"/>
  <c r="F60" i="4"/>
  <c r="F18" i="4"/>
  <c r="F91" i="4"/>
  <c r="F35" i="4"/>
  <c r="F34" i="4"/>
  <c r="F33" i="4"/>
  <c r="F78" i="4"/>
  <c r="F77" i="4"/>
  <c r="F76" i="4"/>
  <c r="F84" i="4"/>
  <c r="F82" i="4"/>
  <c r="F90" i="4"/>
  <c r="F89" i="4"/>
  <c r="F95" i="4"/>
  <c r="F94" i="4"/>
  <c r="F88" i="4"/>
  <c r="F80" i="4"/>
  <c r="F79" i="4"/>
  <c r="F21" i="4"/>
  <c r="F20" i="4"/>
  <c r="F19" i="4"/>
  <c r="F59" i="4"/>
  <c r="F52" i="4"/>
  <c r="F57" i="4"/>
  <c r="F56" i="4"/>
  <c r="F55" i="4"/>
  <c r="F54" i="4"/>
  <c r="F53" i="4"/>
  <c r="F23" i="4"/>
  <c r="F22" i="4"/>
  <c r="F92" i="4"/>
  <c r="F28" i="4"/>
  <c r="F29" i="4"/>
  <c r="F26" i="4"/>
  <c r="F25" i="4"/>
  <c r="F16" i="4"/>
  <c r="F15" i="4"/>
  <c r="F11" i="4"/>
  <c r="F10" i="4"/>
  <c r="F50" i="4"/>
  <c r="F49" i="4"/>
  <c r="F48" i="4"/>
  <c r="F47" i="4"/>
  <c r="F46" i="4"/>
  <c r="F45" i="4"/>
  <c r="F44" i="4"/>
  <c r="F6" i="4"/>
  <c r="F5" i="4"/>
  <c r="F4" i="4"/>
  <c r="F7" i="4"/>
  <c r="F14" i="4"/>
  <c r="F13" i="4"/>
  <c r="F12" i="4"/>
  <c r="F9" i="4"/>
  <c r="F8" i="4"/>
  <c r="F37" i="4"/>
  <c r="F36" i="4"/>
  <c r="F43" i="4"/>
  <c r="F42" i="4"/>
  <c r="F41" i="4"/>
  <c r="F32" i="4"/>
  <c r="F31" i="4"/>
  <c r="F97" i="4"/>
  <c r="F96" i="4"/>
  <c r="F40" i="4"/>
  <c r="F39" i="4"/>
  <c r="F38" i="4"/>
  <c r="F87" i="4"/>
  <c r="F86" i="4"/>
  <c r="F85" i="4"/>
  <c r="F30" i="4"/>
  <c r="F24" i="4"/>
  <c r="F98" i="4"/>
  <c r="F62" i="4"/>
  <c r="F61" i="4"/>
  <c r="F73" i="4"/>
  <c r="F72" i="4"/>
  <c r="F71" i="4"/>
  <c r="F70" i="4"/>
  <c r="F69" i="4"/>
  <c r="F68" i="4"/>
  <c r="F67" i="4"/>
  <c r="F66" i="4"/>
  <c r="F65" i="4"/>
  <c r="F3" i="4"/>
  <c r="E98" i="2" l="1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<sst xmlns="http://schemas.openxmlformats.org/spreadsheetml/2006/main" count="1815" uniqueCount="388">
  <si>
    <t>Asset ID</t>
  </si>
  <si>
    <t>QR Code</t>
  </si>
  <si>
    <t>Description</t>
  </si>
  <si>
    <t>Document</t>
  </si>
  <si>
    <t>(Electrical)</t>
  </si>
  <si>
    <t>(Manual Book)</t>
  </si>
  <si>
    <t>(Sparepart)</t>
  </si>
  <si>
    <t>Category</t>
  </si>
  <si>
    <t>Location</t>
  </si>
  <si>
    <t>Area</t>
  </si>
  <si>
    <t>Machine Rating</t>
  </si>
  <si>
    <t>Incoming Date</t>
  </si>
  <si>
    <t>Machine Life</t>
  </si>
  <si>
    <t>Country Of Origin</t>
  </si>
  <si>
    <t>Iot Category</t>
  </si>
  <si>
    <t>MNT00001</t>
  </si>
  <si>
    <t>BAND SAW (SOCOMECC)</t>
  </si>
  <si>
    <t>-</t>
  </si>
  <si>
    <t>KONVENSIONAL</t>
  </si>
  <si>
    <t>FACTORY 1</t>
  </si>
  <si>
    <t>WOOD WORKING</t>
  </si>
  <si>
    <t>B</t>
  </si>
  <si>
    <t>Italy</t>
  </si>
  <si>
    <t>Non IoT</t>
  </si>
  <si>
    <t>MNT00004</t>
  </si>
  <si>
    <t>PIN ROUTER NO.3 (SHODA RO 116)</t>
  </si>
  <si>
    <t>Japan</t>
  </si>
  <si>
    <t>MNT00005</t>
  </si>
  <si>
    <t>PIN ROUTER NO.4 (SHODA RO 116)</t>
  </si>
  <si>
    <t>MNT00006</t>
  </si>
  <si>
    <t>PIN ROUTER NO.5 (SHODA RO 116)</t>
  </si>
  <si>
    <t>MNT00007</t>
  </si>
  <si>
    <t>PIN ROUTER NO.6 (SHODA RO 116)</t>
  </si>
  <si>
    <t>MNT00008</t>
  </si>
  <si>
    <t>PIN ROUTER NO.7 (SHODA RO 116)</t>
  </si>
  <si>
    <t>MNT00012</t>
  </si>
  <si>
    <t>PIN ROUTER NO.11 (HOLYTEK HR-7)</t>
  </si>
  <si>
    <t>Taiwan</t>
  </si>
  <si>
    <t>MNT00013</t>
  </si>
  <si>
    <t>PIN ROUTER NO.12 (HOLYTEK HR-7)</t>
  </si>
  <si>
    <t>MNT00014</t>
  </si>
  <si>
    <t>PIN ROUTER NO.13 (HOLYTEK HR-7)</t>
  </si>
  <si>
    <t>MNT00015</t>
  </si>
  <si>
    <t>PIN ROUTER NO.14 (HOLYTEK HR-7)</t>
  </si>
  <si>
    <t>MNT00016</t>
  </si>
  <si>
    <t>PANEL SAW NO.1 (ISHIZU)</t>
  </si>
  <si>
    <t>MNT00017</t>
  </si>
  <si>
    <t>PANEL SAW NO.2 (SHINX)</t>
  </si>
  <si>
    <t>IoT</t>
  </si>
  <si>
    <t>MNT00018</t>
  </si>
  <si>
    <t>WIDE BELT SANDER (AMITEC)</t>
  </si>
  <si>
    <t>S</t>
  </si>
  <si>
    <t>MNT00019</t>
  </si>
  <si>
    <t>FLAT LAMINATOR (SUGII MACHINEERY WORKS)</t>
  </si>
  <si>
    <t>MNT00020</t>
  </si>
  <si>
    <t>A</t>
  </si>
  <si>
    <t>Indonesia</t>
  </si>
  <si>
    <t>MNT00021</t>
  </si>
  <si>
    <t>RUNNING SAW 1 (HOLZMA)</t>
  </si>
  <si>
    <t>Germany</t>
  </si>
  <si>
    <t>MNT00022</t>
  </si>
  <si>
    <t>RUNNING SAW 2 (HOLZMA)</t>
  </si>
  <si>
    <t>MNT00023</t>
  </si>
  <si>
    <t>RUNNING SAW 3 (SCM)</t>
  </si>
  <si>
    <t>MNT00024</t>
  </si>
  <si>
    <t>MOULDER NO. 11 LINE BR (RULONG)</t>
  </si>
  <si>
    <t>MNT00025</t>
  </si>
  <si>
    <t>MOULDER NO. 12 LINE BR (RULONG)</t>
  </si>
  <si>
    <t>MNT00026</t>
  </si>
  <si>
    <t>MOULDER NO. 1 CABINET (CHAMFOND)</t>
  </si>
  <si>
    <t>MNT00027</t>
  </si>
  <si>
    <t>MOULDER NO. 4 VVC 1 (CHAMFOND)</t>
  </si>
  <si>
    <t>MNT00028</t>
  </si>
  <si>
    <t>MOULDER NO. 5 VVC 1 (CHAMFOND)</t>
  </si>
  <si>
    <t>MNT00029</t>
  </si>
  <si>
    <t>MOULDER NO. 10 HOZOLINE (SHODA)</t>
  </si>
  <si>
    <t>MNT00030</t>
  </si>
  <si>
    <t>MOULDER NO. 9 HOZOLINE (SHODA)</t>
  </si>
  <si>
    <t>MNT00032</t>
  </si>
  <si>
    <t>MOULDER NO. 7 NCR4 AREA (RULONG)</t>
  </si>
  <si>
    <t>MNT00033</t>
  </si>
  <si>
    <t>MOULDER NO. 2 CABINET (CHAMFOND)</t>
  </si>
  <si>
    <t>MNT00034</t>
  </si>
  <si>
    <t>MOULDER NO. 3 CABINET (CHAMFOND)</t>
  </si>
  <si>
    <t>MNT00038</t>
  </si>
  <si>
    <t>BENCH SAW NO. 6 MIZOLINE (TOKAI)</t>
  </si>
  <si>
    <t>MNT00039</t>
  </si>
  <si>
    <t>BENCH SAW NO. 14 MIZOLINE (TOKAI)</t>
  </si>
  <si>
    <t>MNT00040</t>
  </si>
  <si>
    <t>BENCH SAW NO. 1 CORNER WOOD (TOKAI)</t>
  </si>
  <si>
    <t>MNT00041</t>
  </si>
  <si>
    <t>BENCH SAW NO. 2 CORNER WOOD (TOKAI)</t>
  </si>
  <si>
    <t>MNT00042</t>
  </si>
  <si>
    <t>BENCH SAW NO. 11 LINE BR (HOLYTEK)</t>
  </si>
  <si>
    <t>MNT00043</t>
  </si>
  <si>
    <t>BENCH SAW NO. 12 LINE BR (HOLYTEK)</t>
  </si>
  <si>
    <t>MNT00044</t>
  </si>
  <si>
    <t>BENCH SAW NO. 13 LINE BR (HOLYTEK)</t>
  </si>
  <si>
    <t>MNT00045</t>
  </si>
  <si>
    <t>BENCH SAW NO. 5 CABINET (TOKAI)</t>
  </si>
  <si>
    <t>MNT00046</t>
  </si>
  <si>
    <t>BENCH SAW NO. 8 BODY LINE (TOKAI)</t>
  </si>
  <si>
    <t>MNT00047</t>
  </si>
  <si>
    <t>BENCH SAW NO. 11 BODY LINE (TOKAI)</t>
  </si>
  <si>
    <t>MNT00048</t>
  </si>
  <si>
    <t>BENCH SAW NO. 3 BODY LINE (AUTOFEEDER)</t>
  </si>
  <si>
    <t>MNT00052</t>
  </si>
  <si>
    <t>NC ROUTER NO.1 (HEIAN ER-4311-D4-2113/9100836)</t>
  </si>
  <si>
    <t>CNC/SEMIAUTOMATIC</t>
  </si>
  <si>
    <t>MNT00053</t>
  </si>
  <si>
    <t>NC ROUTER NO.2 (HEIAN ER-431P-D4/9900418)</t>
  </si>
  <si>
    <t>MNT00054</t>
  </si>
  <si>
    <t>NC ROUTER NO.3 (HEIAN ER-4311-D4-2113/9100836)</t>
  </si>
  <si>
    <t>MNT00055</t>
  </si>
  <si>
    <t>NC ROUTER NO.4 (HEIAN ENC431P-1510 S/N:8901246)</t>
  </si>
  <si>
    <t>MNT00056</t>
  </si>
  <si>
    <t>NC ROUTER NO.5 (HEIAN ENC431P-1510 S/N:8901247)</t>
  </si>
  <si>
    <t>MNT00057</t>
  </si>
  <si>
    <t>NC ROUTER NO.6 (HEIAN ER-431-1310/2000680)</t>
  </si>
  <si>
    <t>MNT00058</t>
  </si>
  <si>
    <t>NC ROUTER NO.7 (HEIAN ER-431P-1310/2000679)</t>
  </si>
  <si>
    <t>MNT00059</t>
  </si>
  <si>
    <t>TRIANGLE SAW (TOKAI)</t>
  </si>
  <si>
    <t>MNT00060</t>
  </si>
  <si>
    <t>TABLE SAW NO. 1 CORNER WOOD (TOKAI)</t>
  </si>
  <si>
    <t>MNT00061</t>
  </si>
  <si>
    <t>TABLE SAW NO. 2 LINE BR (TOKAI)</t>
  </si>
  <si>
    <t>MNT00063</t>
  </si>
  <si>
    <t>COLD PRESS (QUILLIN)</t>
  </si>
  <si>
    <t>MNT00064</t>
  </si>
  <si>
    <t>MNT00065</t>
  </si>
  <si>
    <t>MNT00067</t>
  </si>
  <si>
    <t>GLUE SPREADER 4 (TIRTAMAS PERKASA)</t>
  </si>
  <si>
    <t>MNT00068</t>
  </si>
  <si>
    <t>GLUE SPREADER 5 (WEILLI)</t>
  </si>
  <si>
    <t>MNT00069</t>
  </si>
  <si>
    <t>TITLING TABLE SAW CORNER WOOD (HOLYTEK)</t>
  </si>
  <si>
    <t>MNT00071</t>
  </si>
  <si>
    <t>MNT00072</t>
  </si>
  <si>
    <t>MNT00074</t>
  </si>
  <si>
    <t>NCB 1 (YASAKA)</t>
  </si>
  <si>
    <t>MNT00076</t>
  </si>
  <si>
    <t>NCBR 1 (SCM PRATIX Z2)</t>
  </si>
  <si>
    <t>MNT00077</t>
  </si>
  <si>
    <t>NCBR 2 (SCM Z30)</t>
  </si>
  <si>
    <t>MNT00078</t>
  </si>
  <si>
    <t>NCBR 3 (SCM PRATIX Z2)</t>
  </si>
  <si>
    <t>MNT00079</t>
  </si>
  <si>
    <t>NCBR 4 (SCM PRATIX Z2)</t>
  </si>
  <si>
    <t>MNT00080</t>
  </si>
  <si>
    <t>NCB 3 (WEEKE BHX 050)</t>
  </si>
  <si>
    <t>MNT00081</t>
  </si>
  <si>
    <t>NCBR 5 (SCM PRATIX Z2)</t>
  </si>
  <si>
    <t>MNT00083</t>
  </si>
  <si>
    <t>DOUBLE END TENONER NO.1 (HEIAN TRN1208R17V4500)</t>
  </si>
  <si>
    <t>MNT00084</t>
  </si>
  <si>
    <t>DOUBLE END TENONER NO.2 (HOMAG FPL 266)</t>
  </si>
  <si>
    <t>MNT00085</t>
  </si>
  <si>
    <t>DOUBLE END TENONER NO.3 (HOMAG FPL 266)</t>
  </si>
  <si>
    <t>MNT00086</t>
  </si>
  <si>
    <t>PROFILE SANDER 1 (SIMURA SR-100W.PJ)</t>
  </si>
  <si>
    <t>MNT00087</t>
  </si>
  <si>
    <t>PROFILE SANDER 2 (SIMURA HR - S2 / 102HR004)</t>
  </si>
  <si>
    <t>MNT00088</t>
  </si>
  <si>
    <t>SIZER (HEIAN TRZ 1206EHV3500)</t>
  </si>
  <si>
    <t>MNT00089</t>
  </si>
  <si>
    <t>VERTICAL V CUT NO.1 (KYOUEI 4-300-0010)</t>
  </si>
  <si>
    <t>MNT00090</t>
  </si>
  <si>
    <t>VERTICAL V CUT NO.2 (KYOUEI 4-300-0176)</t>
  </si>
  <si>
    <t>MNT00091</t>
  </si>
  <si>
    <t>SOFT LAMINATOR 1 (MARUNAKA SPL-600E / 1454)</t>
  </si>
  <si>
    <t>MNT00092</t>
  </si>
  <si>
    <t>SOFT LAMINATOR 2 (SHOAO BEI SB-F11 130742)</t>
  </si>
  <si>
    <t>MNT00093</t>
  </si>
  <si>
    <t>PVC SLITTER (MARUNAKA W-1300)</t>
  </si>
  <si>
    <t>MNT00094</t>
  </si>
  <si>
    <t>RIP SAW (HXN MACHINE MJ 400 x 3)</t>
  </si>
  <si>
    <t>MNT00095</t>
  </si>
  <si>
    <t>PRESS JIG 1 (PEKE-PEKE) BENGKEL MANDIRI</t>
  </si>
  <si>
    <t>MNT00096</t>
  </si>
  <si>
    <t>PRESS JIG 2 (PEKE-PEKE) BENGKEL MANDIRI</t>
  </si>
  <si>
    <t>MNT00097</t>
  </si>
  <si>
    <t>PRESS JIG 3 (PEKE-PEKE) BENGKEL MANDIRI</t>
  </si>
  <si>
    <t>MNT00098</t>
  </si>
  <si>
    <t>HORIZONTAL V CUT 1 (KYOUEI KE99006)</t>
  </si>
  <si>
    <t>MNT00099</t>
  </si>
  <si>
    <t>HORIZONTAL V CUT 2 (KYOUEI KE99006)</t>
  </si>
  <si>
    <t>MNT00100</t>
  </si>
  <si>
    <t>HORIZONTAL V CUT 3 (ZAFFARONI SMT 5TP/8C)</t>
  </si>
  <si>
    <t>FACTORY 2</t>
  </si>
  <si>
    <t>MNT00102</t>
  </si>
  <si>
    <t>SWING CUTTER (CUTTING SIDE BOARD 17M03)</t>
  </si>
  <si>
    <t>MNT00103</t>
  </si>
  <si>
    <t>CROSS CUT (ICHIKAWA IKR-2.5X8)</t>
  </si>
  <si>
    <t>MNT00104</t>
  </si>
  <si>
    <t>ONIME PRESS (ORIMAGE)</t>
  </si>
  <si>
    <t>MNT00105</t>
  </si>
  <si>
    <t>MEMBRANE PRESS (ORMA MACHINE ECO 25)</t>
  </si>
  <si>
    <t>MNT00106</t>
  </si>
  <si>
    <t>PUNCHING PRESS (YZ COMPANY)</t>
  </si>
  <si>
    <t>MNT00481</t>
  </si>
  <si>
    <t>PANEL SAW NO. 3 (SHINX)</t>
  </si>
  <si>
    <t>MNT00499</t>
  </si>
  <si>
    <t>NC ROUTER NO.8 (HEIAN ER-431P-D4-2113)</t>
  </si>
  <si>
    <t>Factory 1</t>
  </si>
  <si>
    <t>MNT00693</t>
  </si>
  <si>
    <t>PANEL SAW 4</t>
  </si>
  <si>
    <t>MNT01616</t>
  </si>
  <si>
    <t>NCBR 6 (SCM MORBIDELLI)</t>
  </si>
  <si>
    <t>MNT01638</t>
  </si>
  <si>
    <t>COLD PRESS 20-120 TON QIULIN BY904X8/12</t>
  </si>
  <si>
    <t>MNT01640</t>
  </si>
  <si>
    <t>PVC SLITTER (SYOUEI GIKEN W-1300)</t>
  </si>
  <si>
    <t>MNT01645</t>
  </si>
  <si>
    <t>SPREADER GLUE MACHINE (ARDELIA MUSINDO )</t>
  </si>
  <si>
    <t>MNT01646</t>
  </si>
  <si>
    <t>PRESS MACHINE TOYO &amp; YPS-22 NO.1  (NS-600A)</t>
  </si>
  <si>
    <t>MNT01647</t>
  </si>
  <si>
    <t>PRESS MACHINE TOYO &amp; YPS-22 NO.2 (NS-800A)</t>
  </si>
  <si>
    <t>Part no</t>
  </si>
  <si>
    <t>Kode mesin</t>
  </si>
  <si>
    <t>HOT PRESS 700 series (TIRTAMAS PERKASA)</t>
  </si>
  <si>
    <t>GLUE SPREADER 1 Hand Lam1 (LIMAS ANUGERAH STEEL)</t>
  </si>
  <si>
    <t>GLUE SPREADER 2 Hand Lam2 (LIMAS ANUGERAH STEEL)</t>
  </si>
  <si>
    <t>EDGE BANDER NO. 2 (BRANDT OPTIMAT NKR 780 F 20) - CEFINE</t>
  </si>
  <si>
    <t>EDGE BANDER NO. 3 (BRANDT OPTIMAT KDN350C ) - kecil</t>
  </si>
  <si>
    <t>Category PE</t>
  </si>
  <si>
    <t>Band(o) Saw</t>
  </si>
  <si>
    <t>Pin router Jepang</t>
  </si>
  <si>
    <t>Pinr Router China</t>
  </si>
  <si>
    <t>Panel Saw</t>
  </si>
  <si>
    <t>Hot Press</t>
  </si>
  <si>
    <t>Running Saw</t>
  </si>
  <si>
    <t>WBS - Wide Belt Sander</t>
  </si>
  <si>
    <t>Flat laminator</t>
  </si>
  <si>
    <t>Hot press 700 series</t>
  </si>
  <si>
    <t>Soft laminator 1</t>
  </si>
  <si>
    <t>Soft laminator 2</t>
  </si>
  <si>
    <t>Onime press</t>
  </si>
  <si>
    <t>Moulder</t>
  </si>
  <si>
    <t>Hozo Line</t>
  </si>
  <si>
    <t>VVC line moulder</t>
  </si>
  <si>
    <t>Hozo line moulder</t>
  </si>
  <si>
    <t>Bench Saw</t>
  </si>
  <si>
    <t>Mizo line Bench Saw</t>
  </si>
  <si>
    <t>Bench Saw cornerwood</t>
  </si>
  <si>
    <t>Bench Saw Line BR</t>
  </si>
  <si>
    <t>Bench Saw cabinet assy</t>
  </si>
  <si>
    <t>Bench Saw Body Line</t>
  </si>
  <si>
    <t>NC Router ( Heian )</t>
  </si>
  <si>
    <t>Cold press Qiulin</t>
  </si>
  <si>
    <t>Glue spreader Hand Lam</t>
  </si>
  <si>
    <t>Glue spreader XXX side</t>
  </si>
  <si>
    <t>Glue spreader WEILI</t>
  </si>
  <si>
    <t>Tilting table saw</t>
  </si>
  <si>
    <t>Edge Bander CEFINE</t>
  </si>
  <si>
    <t>Edge Bander kecil</t>
  </si>
  <si>
    <t>NCB1 Yasaka</t>
  </si>
  <si>
    <t>DET1</t>
  </si>
  <si>
    <t>DET2</t>
  </si>
  <si>
    <t>DET3</t>
  </si>
  <si>
    <t>Profile Sander1</t>
  </si>
  <si>
    <t>Profile sander2</t>
  </si>
  <si>
    <t>Sizer</t>
  </si>
  <si>
    <t>VVC 1</t>
  </si>
  <si>
    <t>VVC 2</t>
  </si>
  <si>
    <t>PVC slitter</t>
  </si>
  <si>
    <t>Rip saw XXX</t>
  </si>
  <si>
    <t>Press xxx side</t>
  </si>
  <si>
    <t>Press xxx side1</t>
  </si>
  <si>
    <t>HVC1</t>
  </si>
  <si>
    <t>HVC2</t>
  </si>
  <si>
    <t>HVC3 Zafaroni</t>
  </si>
  <si>
    <t>Swing cutter 700/350</t>
  </si>
  <si>
    <t>Cross cut</t>
  </si>
  <si>
    <t>Vacuum laminated press</t>
  </si>
  <si>
    <t>NCBR 5 (SCM MORBIDELLI)</t>
  </si>
  <si>
    <t>Glue spreader mini</t>
  </si>
  <si>
    <t>Press R top NS-600A</t>
  </si>
  <si>
    <t>Press R top NS-800A</t>
  </si>
  <si>
    <t xml:space="preserve">Punch Press </t>
  </si>
  <si>
    <t>Band Saw</t>
  </si>
  <si>
    <t>category umum</t>
  </si>
  <si>
    <t>Edge Bander</t>
  </si>
  <si>
    <t>DET</t>
  </si>
  <si>
    <t>Glue Spreader</t>
  </si>
  <si>
    <t>HVC</t>
  </si>
  <si>
    <t>Mizo line</t>
  </si>
  <si>
    <t>NCBR (Pratix)</t>
  </si>
  <si>
    <t>NCBR (Morbidelli)</t>
  </si>
  <si>
    <t>NCBR (SCM Z30)</t>
  </si>
  <si>
    <t>Soft Laminator</t>
  </si>
  <si>
    <t>Onime Press</t>
  </si>
  <si>
    <t>Pin Router</t>
  </si>
  <si>
    <t>Profile Sander</t>
  </si>
  <si>
    <t>VVC</t>
  </si>
  <si>
    <t>Category akhir</t>
  </si>
  <si>
    <t>Row Labels</t>
  </si>
  <si>
    <t>Grand Total</t>
  </si>
  <si>
    <t>index</t>
  </si>
  <si>
    <t>Assy ( Manual/Orang )</t>
  </si>
  <si>
    <t>MNT00000</t>
  </si>
  <si>
    <t>Assembly by Hand/Man</t>
  </si>
  <si>
    <t>Assembly by hand/Man</t>
  </si>
  <si>
    <t>WW</t>
  </si>
  <si>
    <t>SMT-PCB</t>
  </si>
  <si>
    <t>YSP Printing</t>
  </si>
  <si>
    <t>SPI KY</t>
  </si>
  <si>
    <t>YGD 1 Dispense</t>
  </si>
  <si>
    <t>YGD 2 Dispense</t>
  </si>
  <si>
    <t>YS24 Mounter</t>
  </si>
  <si>
    <t>YS100 Mounter</t>
  </si>
  <si>
    <t>YS88 Mounter</t>
  </si>
  <si>
    <t>YG12 Mounter</t>
  </si>
  <si>
    <t>YG12F Mounter</t>
  </si>
  <si>
    <t>YG100RB Mounter</t>
  </si>
  <si>
    <t>Oven Reflow</t>
  </si>
  <si>
    <t>AOI KY</t>
  </si>
  <si>
    <t>Autoinsert JV JUMPER</t>
  </si>
  <si>
    <t>Autoinsert AV Axial</t>
  </si>
  <si>
    <t>Autoinsert RD Radial</t>
  </si>
  <si>
    <t>Part name</t>
  </si>
  <si>
    <t>Cycle 1</t>
  </si>
  <si>
    <t>Cycle 2</t>
  </si>
  <si>
    <t>Cycle 3</t>
  </si>
  <si>
    <t>Step Proses</t>
  </si>
  <si>
    <t>Man/Machine</t>
  </si>
  <si>
    <t>Manual/Machine</t>
  </si>
  <si>
    <t>Manual</t>
  </si>
  <si>
    <t>Cycle Time Average Man (min)</t>
  </si>
  <si>
    <t>Cycle Time Average Machine (min)</t>
  </si>
  <si>
    <t>Waktu Proses (sec)</t>
  </si>
  <si>
    <t>Qty Material (pcs)</t>
  </si>
  <si>
    <t>Ambil Raw Material dan letakan pada mesin</t>
  </si>
  <si>
    <t xml:space="preserve">Proses Pemotongan </t>
  </si>
  <si>
    <t xml:space="preserve">Pengecekan Hasil Proses </t>
  </si>
  <si>
    <t xml:space="preserve">Letakan hasil potong pada pallet </t>
  </si>
  <si>
    <t>Total Man</t>
  </si>
  <si>
    <t xml:space="preserve">Nama Proses </t>
  </si>
  <si>
    <t>MADE</t>
  </si>
  <si>
    <t>CHECKER</t>
  </si>
  <si>
    <t>APPROVER</t>
  </si>
  <si>
    <t>CHECKED &amp; APPROVED BY WI/WF</t>
  </si>
  <si>
    <t>POINT</t>
  </si>
  <si>
    <t>YAMAHA ELECTRONICS MANUFACTURING INDONESIA (YEMI)</t>
  </si>
  <si>
    <t>MODEL</t>
  </si>
  <si>
    <t>:</t>
  </si>
  <si>
    <t xml:space="preserve">DOCUMENT NO </t>
  </si>
  <si>
    <t>COVER PAGE</t>
  </si>
  <si>
    <t>of</t>
  </si>
  <si>
    <t>SECTION</t>
  </si>
  <si>
    <t xml:space="preserve">REVISION </t>
  </si>
  <si>
    <t xml:space="preserve">--&gt; REVISI Tertinggi otomatis terisi </t>
  </si>
  <si>
    <t>REVISION</t>
  </si>
  <si>
    <t>AMENDMENT</t>
  </si>
  <si>
    <t>PREPARED</t>
  </si>
  <si>
    <t>DATE</t>
  </si>
  <si>
    <t>STATUS</t>
  </si>
  <si>
    <t>BY</t>
  </si>
  <si>
    <t>First Issue</t>
  </si>
  <si>
    <t>NOTE:</t>
  </si>
  <si>
    <r>
      <t xml:space="preserve">THIS DOCUMENT IS </t>
    </r>
    <r>
      <rPr>
        <b/>
        <sz val="10"/>
        <rFont val="Arial"/>
        <family val="2"/>
      </rPr>
      <t xml:space="preserve">YEMI CONFIDENTIAL </t>
    </r>
    <r>
      <rPr>
        <sz val="10"/>
        <rFont val="Arial"/>
        <family val="2"/>
      </rPr>
      <t>PROPERTY. ANY UNAUTHORIZED</t>
    </r>
  </si>
  <si>
    <t>DUPLICATION IN ANY FORM OR AS A WHOLE IS STRICTLY PROHIBITED.</t>
  </si>
  <si>
    <t>STANDARD TIME CALCULATION FORM</t>
  </si>
  <si>
    <t>Rev No          :</t>
  </si>
  <si>
    <t>Model            :</t>
  </si>
  <si>
    <t>Section          :</t>
  </si>
  <si>
    <t>Dokumen No.</t>
  </si>
  <si>
    <t xml:space="preserve">Part Number </t>
  </si>
  <si>
    <t>Part Name</t>
  </si>
  <si>
    <t>Total CT Average Man (min)</t>
  </si>
  <si>
    <t>Total CT Average Machine (min)</t>
  </si>
  <si>
    <t>LOCATION CODE</t>
  </si>
  <si>
    <t>STANDARD TIME CALCULATION FORM (MASS PRODUCTION)</t>
  </si>
  <si>
    <t>VJM3960</t>
  </si>
  <si>
    <t>TOP BOARD 73</t>
  </si>
  <si>
    <t>WW01</t>
  </si>
  <si>
    <t xml:space="preserve">Proses Pemotongan Top Board </t>
  </si>
  <si>
    <t xml:space="preserve">Kondisi STCF </t>
  </si>
  <si>
    <t>Qty/Product</t>
  </si>
  <si>
    <t>COMPLETE ASSY J</t>
  </si>
  <si>
    <t>COMPLETE ASSY U</t>
  </si>
  <si>
    <t xml:space="preserve">Total CT (Man + Machine) </t>
  </si>
  <si>
    <t>SUMMARY STANDARD TIME CALCULATION FORM</t>
  </si>
  <si>
    <t xml:space="preserve">Model           </t>
  </si>
  <si>
    <t xml:space="preserve">Section          </t>
  </si>
  <si>
    <t xml:space="preserve">Rev No          </t>
  </si>
  <si>
    <t xml:space="preserve">STANDARD TIME CALCULATION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</si>
</sst>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d\-mmm\-yy;@"/>
    <numFmt numFmtId="166" formatCode="[$-409]d/mmm/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MS Mincho"/>
      <family val="3"/>
    </font>
    <font>
      <sz val="11"/>
      <name val="Arial Narrow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double">
        <color indexed="64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7" fillId="0" borderId="0"/>
    <xf numFmtId="0" fontId="1" fillId="0" borderId="0"/>
  </cellStyleXfs>
  <cellXfs count="248">
    <xf numFmtId="0" fontId="0" fillId="0" borderId="0" xfId="0"/>
    <xf numFmtId="0" fontId="16" fillId="0" borderId="0" xfId="0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42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0" borderId="10" xfId="0" applyBorder="1"/>
    <xf numFmtId="0" fontId="18" fillId="34" borderId="0" xfId="0" applyFont="1" applyFill="1" applyAlignment="1">
      <alignment horizontal="center" vertical="center"/>
    </xf>
    <xf numFmtId="0" fontId="18" fillId="34" borderId="0" xfId="0" applyFont="1" applyFill="1" applyAlignment="1">
      <alignment vertical="center"/>
    </xf>
    <xf numFmtId="0" fontId="0" fillId="34" borderId="0" xfId="0" applyFill="1"/>
    <xf numFmtId="0" fontId="18" fillId="35" borderId="0" xfId="0" applyFont="1" applyFill="1" applyAlignment="1">
      <alignment horizontal="center" vertical="center"/>
    </xf>
    <xf numFmtId="0" fontId="18" fillId="35" borderId="0" xfId="0" applyFont="1" applyFill="1" applyAlignment="1">
      <alignment vertical="center"/>
    </xf>
    <xf numFmtId="0" fontId="0" fillId="35" borderId="0" xfId="0" applyFill="1"/>
    <xf numFmtId="0" fontId="18" fillId="36" borderId="0" xfId="0" applyFont="1" applyFill="1" applyAlignment="1">
      <alignment horizontal="center" vertical="center"/>
    </xf>
    <xf numFmtId="0" fontId="18" fillId="36" borderId="0" xfId="0" applyFont="1" applyFill="1" applyAlignment="1">
      <alignment vertical="center"/>
    </xf>
    <xf numFmtId="0" fontId="0" fillId="36" borderId="0" xfId="0" applyFill="1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vertical="center"/>
    </xf>
    <xf numFmtId="2" fontId="0" fillId="0" borderId="0" xfId="0" applyNumberFormat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20" xfId="0" applyBorder="1"/>
    <xf numFmtId="0" fontId="0" fillId="0" borderId="40" xfId="0" applyBorder="1"/>
    <xf numFmtId="0" fontId="0" fillId="0" borderId="18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2" fontId="0" fillId="0" borderId="20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2" fontId="0" fillId="0" borderId="10" xfId="0" applyNumberForma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2" fontId="0" fillId="0" borderId="13" xfId="0" applyNumberFormat="1" applyBorder="1" applyProtection="1">
      <protection locked="0"/>
    </xf>
    <xf numFmtId="0" fontId="0" fillId="0" borderId="34" xfId="0" applyBorder="1" applyProtection="1">
      <protection locked="0"/>
    </xf>
    <xf numFmtId="0" fontId="25" fillId="37" borderId="24" xfId="0" applyFont="1" applyFill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22" fillId="0" borderId="47" xfId="0" applyFont="1" applyBorder="1"/>
    <xf numFmtId="0" fontId="0" fillId="0" borderId="48" xfId="0" applyBorder="1"/>
    <xf numFmtId="0" fontId="0" fillId="0" borderId="48" xfId="0" applyBorder="1" applyAlignment="1">
      <alignment horizontal="center"/>
    </xf>
    <xf numFmtId="0" fontId="23" fillId="0" borderId="40" xfId="0" applyFont="1" applyBorder="1"/>
    <xf numFmtId="0" fontId="0" fillId="0" borderId="50" xfId="0" applyBorder="1" applyProtection="1">
      <protection locked="0"/>
    </xf>
    <xf numFmtId="0" fontId="26" fillId="0" borderId="40" xfId="0" applyFont="1" applyBorder="1"/>
    <xf numFmtId="2" fontId="0" fillId="0" borderId="20" xfId="0" applyNumberFormat="1" applyBorder="1"/>
    <xf numFmtId="164" fontId="0" fillId="0" borderId="29" xfId="0" applyNumberFormat="1" applyBorder="1" applyProtection="1">
      <protection locked="0"/>
    </xf>
    <xf numFmtId="164" fontId="0" fillId="0" borderId="30" xfId="0" applyNumberFormat="1" applyBorder="1" applyProtection="1">
      <protection locked="0"/>
    </xf>
    <xf numFmtId="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9" fillId="37" borderId="19" xfId="0" applyFont="1" applyFill="1" applyBorder="1" applyAlignment="1">
      <alignment vertical="center" wrapText="1"/>
    </xf>
    <xf numFmtId="0" fontId="19" fillId="37" borderId="23" xfId="0" applyFont="1" applyFill="1" applyBorder="1" applyAlignment="1">
      <alignment vertical="center" wrapText="1"/>
    </xf>
    <xf numFmtId="0" fontId="0" fillId="0" borderId="5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3" xfId="0" applyBorder="1" applyProtection="1">
      <protection locked="0"/>
    </xf>
    <xf numFmtId="0" fontId="0" fillId="0" borderId="18" xfId="0" applyBorder="1"/>
    <xf numFmtId="0" fontId="0" fillId="0" borderId="20" xfId="0" applyBorder="1" applyAlignment="1">
      <alignment horizontal="center"/>
    </xf>
    <xf numFmtId="164" fontId="0" fillId="0" borderId="28" xfId="0" applyNumberFormat="1" applyBorder="1" applyProtection="1">
      <protection locked="0"/>
    </xf>
    <xf numFmtId="2" fontId="0" fillId="0" borderId="50" xfId="0" applyNumberFormat="1" applyBorder="1"/>
    <xf numFmtId="0" fontId="28" fillId="0" borderId="57" xfId="43" applyFont="1" applyBorder="1" applyAlignment="1">
      <alignment vertical="center"/>
    </xf>
    <xf numFmtId="0" fontId="28" fillId="0" borderId="42" xfId="43" applyFont="1" applyBorder="1" applyAlignment="1">
      <alignment horizontal="left" vertical="center"/>
    </xf>
    <xf numFmtId="0" fontId="28" fillId="0" borderId="42" xfId="43" applyFont="1" applyBorder="1" applyAlignment="1">
      <alignment vertical="center"/>
    </xf>
    <xf numFmtId="0" fontId="28" fillId="0" borderId="44" xfId="43" applyFont="1" applyBorder="1" applyAlignment="1">
      <alignment vertical="center"/>
    </xf>
    <xf numFmtId="0" fontId="28" fillId="0" borderId="0" xfId="43" applyFont="1" applyAlignment="1">
      <alignment vertical="center"/>
    </xf>
    <xf numFmtId="0" fontId="27" fillId="0" borderId="0" xfId="43"/>
    <xf numFmtId="0" fontId="28" fillId="0" borderId="40" xfId="43" applyFont="1" applyBorder="1" applyAlignment="1">
      <alignment vertical="center"/>
    </xf>
    <xf numFmtId="0" fontId="29" fillId="0" borderId="0" xfId="43" applyFont="1" applyAlignment="1">
      <alignment horizontal="center" vertical="center"/>
    </xf>
    <xf numFmtId="0" fontId="29" fillId="0" borderId="43" xfId="43" applyFont="1" applyBorder="1" applyAlignment="1">
      <alignment vertical="center"/>
    </xf>
    <xf numFmtId="0" fontId="29" fillId="0" borderId="0" xfId="43" applyFont="1" applyAlignment="1">
      <alignment horizontal="left" vertical="center"/>
    </xf>
    <xf numFmtId="0" fontId="28" fillId="0" borderId="43" xfId="43" applyFont="1" applyBorder="1" applyAlignment="1">
      <alignment vertical="center"/>
    </xf>
    <xf numFmtId="0" fontId="28" fillId="0" borderId="0" xfId="43" applyFont="1" applyAlignment="1">
      <alignment horizontal="left" vertical="center"/>
    </xf>
    <xf numFmtId="0" fontId="28" fillId="0" borderId="58" xfId="43" applyFont="1" applyBorder="1" applyAlignment="1">
      <alignment vertical="center"/>
    </xf>
    <xf numFmtId="0" fontId="28" fillId="0" borderId="41" xfId="43" applyFont="1" applyBorder="1" applyAlignment="1">
      <alignment vertical="center"/>
    </xf>
    <xf numFmtId="0" fontId="23" fillId="0" borderId="39" xfId="43" applyFont="1" applyBorder="1" applyAlignment="1">
      <alignment horizontal="left" vertical="center"/>
    </xf>
    <xf numFmtId="0" fontId="28" fillId="0" borderId="59" xfId="43" applyFont="1" applyBorder="1" applyAlignment="1">
      <alignment vertical="center"/>
    </xf>
    <xf numFmtId="0" fontId="23" fillId="0" borderId="59" xfId="43" applyFont="1" applyBorder="1" applyAlignment="1">
      <alignment horizontal="right" vertical="center"/>
    </xf>
    <xf numFmtId="0" fontId="23" fillId="0" borderId="59" xfId="43" applyFont="1" applyBorder="1" applyAlignment="1">
      <alignment vertical="top"/>
    </xf>
    <xf numFmtId="0" fontId="23" fillId="0" borderId="59" xfId="43" applyFont="1" applyBorder="1" applyAlignment="1">
      <alignment vertical="top" wrapText="1"/>
    </xf>
    <xf numFmtId="0" fontId="23" fillId="0" borderId="39" xfId="43" applyFont="1" applyBorder="1" applyAlignment="1">
      <alignment vertical="center"/>
    </xf>
    <xf numFmtId="0" fontId="23" fillId="0" borderId="59" xfId="43" applyFont="1" applyBorder="1" applyAlignment="1">
      <alignment vertical="center"/>
    </xf>
    <xf numFmtId="0" fontId="28" fillId="0" borderId="38" xfId="43" applyFont="1" applyBorder="1" applyAlignment="1">
      <alignment vertical="center"/>
    </xf>
    <xf numFmtId="0" fontId="23" fillId="0" borderId="36" xfId="43" applyFont="1" applyBorder="1" applyAlignment="1">
      <alignment horizontal="left" vertical="center"/>
    </xf>
    <xf numFmtId="0" fontId="23" fillId="0" borderId="0" xfId="43" applyFont="1" applyAlignment="1">
      <alignment horizontal="right" vertical="center"/>
    </xf>
    <xf numFmtId="0" fontId="23" fillId="0" borderId="0" xfId="43" applyFont="1" applyAlignment="1">
      <alignment vertical="top" wrapText="1"/>
    </xf>
    <xf numFmtId="0" fontId="23" fillId="0" borderId="36" xfId="43" applyFont="1" applyBorder="1" applyAlignment="1">
      <alignment vertical="center"/>
    </xf>
    <xf numFmtId="0" fontId="23" fillId="0" borderId="0" xfId="43" applyFont="1" applyAlignment="1">
      <alignment vertical="center"/>
    </xf>
    <xf numFmtId="0" fontId="28" fillId="0" borderId="37" xfId="43" applyFont="1" applyBorder="1" applyAlignment="1">
      <alignment vertical="center"/>
    </xf>
    <xf numFmtId="0" fontId="23" fillId="0" borderId="0" xfId="43" applyFont="1" applyAlignment="1">
      <alignment horizontal="center" vertical="center"/>
    </xf>
    <xf numFmtId="0" fontId="30" fillId="0" borderId="0" xfId="43" applyFont="1" applyAlignment="1">
      <alignment horizontal="center" vertical="center"/>
    </xf>
    <xf numFmtId="0" fontId="23" fillId="0" borderId="35" xfId="43" applyFont="1" applyBorder="1" applyAlignment="1">
      <alignment horizontal="left" vertical="center"/>
    </xf>
    <xf numFmtId="0" fontId="23" fillId="0" borderId="41" xfId="43" applyFont="1" applyBorder="1" applyAlignment="1">
      <alignment horizontal="right" vertical="center"/>
    </xf>
    <xf numFmtId="0" fontId="23" fillId="0" borderId="41" xfId="43" applyFont="1" applyBorder="1" applyAlignment="1">
      <alignment vertical="center"/>
    </xf>
    <xf numFmtId="0" fontId="23" fillId="0" borderId="35" xfId="43" applyFont="1" applyBorder="1" applyAlignment="1">
      <alignment vertical="center"/>
    </xf>
    <xf numFmtId="0" fontId="23" fillId="0" borderId="41" xfId="43" applyFont="1" applyBorder="1" applyAlignment="1">
      <alignment horizontal="center" vertical="top"/>
    </xf>
    <xf numFmtId="0" fontId="28" fillId="0" borderId="25" xfId="43" applyFont="1" applyBorder="1" applyAlignment="1">
      <alignment vertical="center"/>
    </xf>
    <xf numFmtId="0" fontId="31" fillId="0" borderId="0" xfId="43" quotePrefix="1" applyFont="1"/>
    <xf numFmtId="0" fontId="32" fillId="0" borderId="40" xfId="43" applyFont="1" applyBorder="1" applyAlignment="1">
      <alignment vertical="center"/>
    </xf>
    <xf numFmtId="0" fontId="33" fillId="0" borderId="0" xfId="43" applyFont="1" applyAlignment="1" applyProtection="1">
      <alignment vertical="center"/>
      <protection locked="0"/>
    </xf>
    <xf numFmtId="0" fontId="32" fillId="0" borderId="43" xfId="43" applyFont="1" applyBorder="1" applyAlignment="1">
      <alignment vertical="center"/>
    </xf>
    <xf numFmtId="0" fontId="33" fillId="0" borderId="36" xfId="43" quotePrefix="1" applyFont="1" applyBorder="1" applyAlignment="1">
      <alignment vertical="center"/>
    </xf>
    <xf numFmtId="0" fontId="33" fillId="0" borderId="0" xfId="43" applyFont="1" applyAlignment="1">
      <alignment vertical="center"/>
    </xf>
    <xf numFmtId="0" fontId="33" fillId="0" borderId="0" xfId="44" applyFont="1" applyAlignment="1">
      <alignment vertical="center"/>
    </xf>
    <xf numFmtId="0" fontId="30" fillId="0" borderId="36" xfId="43" quotePrefix="1" applyFont="1" applyBorder="1" applyProtection="1">
      <protection locked="0"/>
    </xf>
    <xf numFmtId="0" fontId="28" fillId="0" borderId="0" xfId="43" applyFont="1" applyAlignment="1" applyProtection="1">
      <alignment vertical="center"/>
      <protection locked="0"/>
    </xf>
    <xf numFmtId="0" fontId="28" fillId="0" borderId="36" xfId="43" quotePrefix="1" applyFont="1" applyBorder="1" applyProtection="1">
      <protection locked="0"/>
    </xf>
    <xf numFmtId="0" fontId="33" fillId="0" borderId="36" xfId="43" applyFont="1" applyBorder="1" applyProtection="1">
      <protection locked="0"/>
    </xf>
    <xf numFmtId="0" fontId="33" fillId="0" borderId="36" xfId="43" quotePrefix="1" applyFont="1" applyBorder="1" applyProtection="1">
      <protection locked="0"/>
    </xf>
    <xf numFmtId="0" fontId="33" fillId="0" borderId="0" xfId="43" quotePrefix="1" applyFont="1" applyProtection="1">
      <protection locked="0"/>
    </xf>
    <xf numFmtId="0" fontId="33" fillId="0" borderId="0" xfId="43" applyFont="1" applyProtection="1">
      <protection locked="0"/>
    </xf>
    <xf numFmtId="0" fontId="33" fillId="0" borderId="41" xfId="43" applyFont="1" applyBorder="1" applyAlignment="1" applyProtection="1">
      <alignment vertical="center"/>
      <protection locked="0"/>
    </xf>
    <xf numFmtId="0" fontId="28" fillId="0" borderId="41" xfId="43" applyFont="1" applyBorder="1" applyAlignment="1" applyProtection="1">
      <alignment vertical="center"/>
      <protection locked="0"/>
    </xf>
    <xf numFmtId="0" fontId="32" fillId="0" borderId="0" xfId="43" applyFont="1" applyAlignment="1">
      <alignment vertical="center"/>
    </xf>
    <xf numFmtId="0" fontId="33" fillId="0" borderId="0" xfId="43" applyFont="1" applyAlignment="1">
      <alignment horizontal="center" vertical="center"/>
    </xf>
    <xf numFmtId="0" fontId="28" fillId="0" borderId="0" xfId="43" applyFont="1" applyAlignment="1">
      <alignment horizontal="center" vertical="center"/>
    </xf>
    <xf numFmtId="0" fontId="28" fillId="0" borderId="60" xfId="43" applyFont="1" applyBorder="1" applyAlignment="1">
      <alignment vertical="center"/>
    </xf>
    <xf numFmtId="0" fontId="28" fillId="0" borderId="51" xfId="43" applyFont="1" applyBorder="1" applyAlignment="1">
      <alignment horizontal="left" vertical="center"/>
    </xf>
    <xf numFmtId="0" fontId="28" fillId="0" borderId="51" xfId="43" applyFont="1" applyBorder="1" applyAlignment="1">
      <alignment vertical="center"/>
    </xf>
    <xf numFmtId="0" fontId="28" fillId="0" borderId="52" xfId="43" applyFont="1" applyBorder="1" applyAlignment="1">
      <alignment vertical="center"/>
    </xf>
    <xf numFmtId="0" fontId="35" fillId="0" borderId="0" xfId="43" applyFont="1"/>
    <xf numFmtId="0" fontId="34" fillId="0" borderId="0" xfId="43" applyFont="1" applyAlignment="1" applyProtection="1">
      <alignment horizontal="center" vertical="center"/>
      <protection locked="0"/>
    </xf>
    <xf numFmtId="166" fontId="32" fillId="0" borderId="59" xfId="43" applyNumberFormat="1" applyFont="1" applyBorder="1" applyAlignment="1">
      <alignment horizontal="left" vertical="center"/>
    </xf>
    <xf numFmtId="0" fontId="32" fillId="0" borderId="59" xfId="43" applyFont="1" applyBorder="1" applyAlignment="1">
      <alignment horizontal="left" vertical="center"/>
    </xf>
    <xf numFmtId="0" fontId="32" fillId="0" borderId="59" xfId="43" applyFont="1" applyBorder="1" applyAlignment="1">
      <alignment vertical="center"/>
    </xf>
    <xf numFmtId="0" fontId="22" fillId="0" borderId="0" xfId="0" applyFont="1"/>
    <xf numFmtId="0" fontId="24" fillId="0" borderId="0" xfId="0" applyFont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2" fontId="0" fillId="0" borderId="13" xfId="0" applyNumberFormat="1" applyBorder="1"/>
    <xf numFmtId="0" fontId="0" fillId="0" borderId="34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164" fontId="0" fillId="0" borderId="20" xfId="0" applyNumberFormat="1" applyBorder="1"/>
    <xf numFmtId="0" fontId="36" fillId="0" borderId="10" xfId="0" applyFont="1" applyBorder="1"/>
    <xf numFmtId="0" fontId="0" fillId="0" borderId="63" xfId="0" applyBorder="1"/>
    <xf numFmtId="0" fontId="0" fillId="0" borderId="65" xfId="0" applyBorder="1"/>
    <xf numFmtId="0" fontId="0" fillId="0" borderId="10" xfId="0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36" fillId="0" borderId="10" xfId="0" applyNumberFormat="1" applyFont="1" applyBorder="1" applyAlignment="1">
      <alignment horizontal="center"/>
    </xf>
    <xf numFmtId="0" fontId="22" fillId="0" borderId="48" xfId="0" applyFont="1" applyBorder="1"/>
    <xf numFmtId="0" fontId="19" fillId="37" borderId="66" xfId="0" applyFont="1" applyFill="1" applyBorder="1" applyAlignment="1">
      <alignment horizontal="center" vertical="center" wrapText="1"/>
    </xf>
    <xf numFmtId="0" fontId="19" fillId="37" borderId="67" xfId="0" applyFont="1" applyFill="1" applyBorder="1" applyAlignment="1">
      <alignment horizontal="center" vertical="center" wrapText="1"/>
    </xf>
    <xf numFmtId="0" fontId="0" fillId="0" borderId="65" xfId="0" applyBorder="1" applyProtection="1">
      <protection locked="0"/>
    </xf>
    <xf numFmtId="0" fontId="0" fillId="0" borderId="25" xfId="0" applyBorder="1"/>
    <xf numFmtId="0" fontId="0" fillId="0" borderId="68" xfId="0" applyBorder="1"/>
    <xf numFmtId="0" fontId="0" fillId="0" borderId="20" xfId="0" applyBorder="1" applyAlignment="1" applyProtection="1">
      <alignment horizontal="left" wrapText="1"/>
      <protection locked="0"/>
    </xf>
    <xf numFmtId="0" fontId="16" fillId="0" borderId="65" xfId="0" applyFont="1" applyBorder="1"/>
    <xf numFmtId="0" fontId="23" fillId="0" borderId="0" xfId="0" applyFont="1"/>
    <xf numFmtId="0" fontId="26" fillId="0" borderId="0" xfId="0" applyFont="1"/>
    <xf numFmtId="164" fontId="0" fillId="0" borderId="50" xfId="0" applyNumberFormat="1" applyBorder="1"/>
    <xf numFmtId="0" fontId="0" fillId="0" borderId="73" xfId="0" applyBorder="1" applyAlignment="1" applyProtection="1">
      <alignment horizontal="center"/>
      <protection locked="0"/>
    </xf>
    <xf numFmtId="0" fontId="0" fillId="0" borderId="68" xfId="0" applyBorder="1" applyAlignment="1" applyProtection="1">
      <alignment horizontal="center"/>
      <protection locked="0"/>
    </xf>
    <xf numFmtId="0" fontId="0" fillId="0" borderId="72" xfId="0" applyBorder="1" applyAlignment="1" applyProtection="1">
      <alignment horizontal="center"/>
      <protection locked="0"/>
    </xf>
    <xf numFmtId="0" fontId="0" fillId="0" borderId="65" xfId="0" applyBorder="1" applyAlignment="1" applyProtection="1">
      <alignment horizontal="center"/>
      <protection locked="0"/>
    </xf>
    <xf numFmtId="0" fontId="19" fillId="37" borderId="17" xfId="0" applyFont="1" applyFill="1" applyBorder="1" applyAlignment="1">
      <alignment horizontal="center" vertical="center" wrapText="1"/>
    </xf>
    <xf numFmtId="0" fontId="19" fillId="37" borderId="22" xfId="0" applyFont="1" applyFill="1" applyBorder="1" applyAlignment="1">
      <alignment horizontal="center" vertical="center" wrapText="1"/>
    </xf>
    <xf numFmtId="0" fontId="19" fillId="37" borderId="19" xfId="0" applyFont="1" applyFill="1" applyBorder="1" applyAlignment="1">
      <alignment horizontal="center" vertical="center" wrapText="1"/>
    </xf>
    <xf numFmtId="0" fontId="19" fillId="37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61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19" fillId="37" borderId="46" xfId="0" applyFont="1" applyFill="1" applyBorder="1" applyAlignment="1">
      <alignment horizontal="center" vertical="center" wrapText="1"/>
    </xf>
    <xf numFmtId="0" fontId="19" fillId="37" borderId="21" xfId="0" applyFont="1" applyFill="1" applyBorder="1" applyAlignment="1">
      <alignment horizontal="center" vertical="center" wrapText="1"/>
    </xf>
    <xf numFmtId="0" fontId="19" fillId="37" borderId="42" xfId="0" applyFont="1" applyFill="1" applyBorder="1" applyAlignment="1">
      <alignment horizontal="center" vertical="center" wrapText="1"/>
    </xf>
    <xf numFmtId="0" fontId="19" fillId="37" borderId="31" xfId="0" applyFont="1" applyFill="1" applyBorder="1" applyAlignment="1">
      <alignment horizontal="center" vertical="center" wrapText="1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19" fillId="37" borderId="26" xfId="0" applyFont="1" applyFill="1" applyBorder="1" applyAlignment="1">
      <alignment horizontal="center" vertical="center" wrapText="1"/>
    </xf>
    <xf numFmtId="0" fontId="19" fillId="37" borderId="27" xfId="0" applyFont="1" applyFill="1" applyBorder="1" applyAlignment="1">
      <alignment horizontal="center" vertical="center" wrapText="1"/>
    </xf>
    <xf numFmtId="2" fontId="19" fillId="37" borderId="14" xfId="0" applyNumberFormat="1" applyFont="1" applyFill="1" applyBorder="1" applyAlignment="1">
      <alignment horizontal="center" vertical="center" wrapText="1"/>
    </xf>
    <xf numFmtId="2" fontId="19" fillId="37" borderId="15" xfId="0" applyNumberFormat="1" applyFont="1" applyFill="1" applyBorder="1" applyAlignment="1">
      <alignment horizontal="center" vertical="center" wrapText="1"/>
    </xf>
    <xf numFmtId="2" fontId="19" fillId="37" borderId="16" xfId="0" applyNumberFormat="1" applyFont="1" applyFill="1" applyBorder="1" applyAlignment="1">
      <alignment horizontal="center" vertical="center" wrapText="1"/>
    </xf>
    <xf numFmtId="0" fontId="19" fillId="37" borderId="57" xfId="0" applyFont="1" applyFill="1" applyBorder="1" applyAlignment="1">
      <alignment horizontal="center" vertical="center" wrapText="1"/>
    </xf>
    <xf numFmtId="0" fontId="19" fillId="37" borderId="66" xfId="0" applyFont="1" applyFill="1" applyBorder="1" applyAlignment="1">
      <alignment horizontal="center" vertical="center" wrapText="1"/>
    </xf>
    <xf numFmtId="0" fontId="19" fillId="37" borderId="69" xfId="0" applyFont="1" applyFill="1" applyBorder="1" applyAlignment="1">
      <alignment horizontal="center" vertical="center" wrapText="1"/>
    </xf>
    <xf numFmtId="0" fontId="19" fillId="37" borderId="67" xfId="0" applyFont="1" applyFill="1" applyBorder="1" applyAlignment="1">
      <alignment horizontal="center" vertical="center" wrapText="1"/>
    </xf>
    <xf numFmtId="0" fontId="0" fillId="0" borderId="70" xfId="0" applyBorder="1" applyAlignment="1" applyProtection="1">
      <alignment horizontal="center"/>
      <protection locked="0"/>
    </xf>
    <xf numFmtId="0" fontId="0" fillId="0" borderId="71" xfId="0" applyBorder="1" applyAlignment="1" applyProtection="1">
      <alignment horizontal="center"/>
      <protection locked="0"/>
    </xf>
    <xf numFmtId="0" fontId="28" fillId="0" borderId="36" xfId="43" applyFont="1" applyBorder="1" applyAlignment="1" applyProtection="1">
      <alignment horizontal="center" vertical="center"/>
      <protection locked="0"/>
    </xf>
    <xf numFmtId="0" fontId="28" fillId="0" borderId="0" xfId="43" applyFont="1" applyAlignment="1" applyProtection="1">
      <alignment horizontal="center" vertical="center"/>
      <protection locked="0"/>
    </xf>
    <xf numFmtId="0" fontId="28" fillId="0" borderId="37" xfId="43" applyFont="1" applyBorder="1" applyAlignment="1" applyProtection="1">
      <alignment horizontal="center" vertical="center"/>
      <protection locked="0"/>
    </xf>
    <xf numFmtId="0" fontId="27" fillId="0" borderId="0" xfId="43" applyAlignment="1">
      <alignment horizontal="center" vertical="center"/>
    </xf>
    <xf numFmtId="165" fontId="28" fillId="0" borderId="36" xfId="43" quotePrefix="1" applyNumberFormat="1" applyFont="1" applyBorder="1" applyAlignment="1" applyProtection="1">
      <alignment horizontal="center" vertical="center"/>
      <protection locked="0"/>
    </xf>
    <xf numFmtId="165" fontId="28" fillId="0" borderId="0" xfId="43" quotePrefix="1" applyNumberFormat="1" applyFont="1" applyAlignment="1" applyProtection="1">
      <alignment horizontal="center" vertical="center"/>
      <protection locked="0"/>
    </xf>
    <xf numFmtId="165" fontId="28" fillId="0" borderId="37" xfId="43" quotePrefix="1" applyNumberFormat="1" applyFont="1" applyBorder="1" applyAlignment="1" applyProtection="1">
      <alignment horizontal="center" vertical="center"/>
      <protection locked="0"/>
    </xf>
    <xf numFmtId="165" fontId="33" fillId="0" borderId="36" xfId="43" quotePrefix="1" applyNumberFormat="1" applyFont="1" applyBorder="1" applyAlignment="1" applyProtection="1">
      <alignment horizontal="center" vertical="center"/>
      <protection locked="0"/>
    </xf>
    <xf numFmtId="165" fontId="33" fillId="0" borderId="0" xfId="43" quotePrefix="1" applyNumberFormat="1" applyFont="1" applyAlignment="1" applyProtection="1">
      <alignment horizontal="center" vertical="center"/>
      <protection locked="0"/>
    </xf>
    <xf numFmtId="165" fontId="33" fillId="0" borderId="37" xfId="43" quotePrefix="1" applyNumberFormat="1" applyFont="1" applyBorder="1" applyAlignment="1" applyProtection="1">
      <alignment horizontal="center" vertical="center"/>
      <protection locked="0"/>
    </xf>
    <xf numFmtId="0" fontId="28" fillId="0" borderId="41" xfId="43" applyFont="1" applyBorder="1" applyAlignment="1" applyProtection="1">
      <alignment horizontal="center" vertical="center"/>
      <protection locked="0"/>
    </xf>
    <xf numFmtId="0" fontId="28" fillId="0" borderId="25" xfId="43" applyFont="1" applyBorder="1" applyAlignment="1" applyProtection="1">
      <alignment horizontal="center" vertical="center"/>
      <protection locked="0"/>
    </xf>
    <xf numFmtId="0" fontId="28" fillId="0" borderId="35" xfId="43" applyFont="1" applyBorder="1" applyAlignment="1" applyProtection="1">
      <alignment horizontal="center" vertical="center"/>
      <protection locked="0"/>
    </xf>
    <xf numFmtId="166" fontId="28" fillId="0" borderId="36" xfId="43" quotePrefix="1" applyNumberFormat="1" applyFont="1" applyBorder="1" applyAlignment="1" applyProtection="1">
      <alignment horizontal="center" vertical="center"/>
      <protection locked="0"/>
    </xf>
    <xf numFmtId="166" fontId="28" fillId="0" borderId="0" xfId="43" quotePrefix="1" applyNumberFormat="1" applyFont="1" applyAlignment="1" applyProtection="1">
      <alignment horizontal="center" vertical="center"/>
      <protection locked="0"/>
    </xf>
    <xf numFmtId="166" fontId="28" fillId="0" borderId="0" xfId="43" applyNumberFormat="1" applyFont="1" applyAlignment="1" applyProtection="1">
      <alignment horizontal="center" vertical="center"/>
      <protection locked="0"/>
    </xf>
    <xf numFmtId="166" fontId="28" fillId="0" borderId="37" xfId="43" applyNumberFormat="1" applyFont="1" applyBorder="1" applyAlignment="1" applyProtection="1">
      <alignment horizontal="center" vertical="center"/>
      <protection locked="0"/>
    </xf>
    <xf numFmtId="15" fontId="28" fillId="0" borderId="36" xfId="43" quotePrefix="1" applyNumberFormat="1" applyFont="1" applyBorder="1" applyAlignment="1" applyProtection="1">
      <alignment horizontal="center" vertical="center"/>
      <protection locked="0"/>
    </xf>
    <xf numFmtId="0" fontId="33" fillId="0" borderId="36" xfId="43" applyFont="1" applyBorder="1" applyAlignment="1" applyProtection="1">
      <alignment horizontal="center" vertical="center"/>
      <protection locked="0"/>
    </xf>
    <xf numFmtId="0" fontId="33" fillId="0" borderId="0" xfId="43" applyFont="1" applyAlignment="1" applyProtection="1">
      <alignment horizontal="center" vertical="center"/>
      <protection locked="0"/>
    </xf>
    <xf numFmtId="0" fontId="33" fillId="0" borderId="37" xfId="43" applyFont="1" applyBorder="1" applyAlignment="1" applyProtection="1">
      <alignment horizontal="center" vertical="center"/>
      <protection locked="0"/>
    </xf>
    <xf numFmtId="165" fontId="33" fillId="0" borderId="36" xfId="44" quotePrefix="1" applyNumberFormat="1" applyFont="1" applyBorder="1" applyAlignment="1">
      <alignment horizontal="center" vertical="center"/>
    </xf>
    <xf numFmtId="165" fontId="33" fillId="0" borderId="0" xfId="44" quotePrefix="1" applyNumberFormat="1" applyFont="1" applyAlignment="1">
      <alignment horizontal="center" vertical="center"/>
    </xf>
    <xf numFmtId="165" fontId="33" fillId="0" borderId="37" xfId="44" quotePrefix="1" applyNumberFormat="1" applyFont="1" applyBorder="1" applyAlignment="1">
      <alignment horizontal="center" vertical="center"/>
    </xf>
    <xf numFmtId="0" fontId="33" fillId="0" borderId="36" xfId="44" applyFont="1" applyBorder="1" applyAlignment="1">
      <alignment horizontal="center" vertical="center"/>
    </xf>
    <xf numFmtId="0" fontId="33" fillId="0" borderId="0" xfId="44" applyFont="1" applyAlignment="1">
      <alignment horizontal="center" vertical="center"/>
    </xf>
    <xf numFmtId="0" fontId="33" fillId="0" borderId="37" xfId="44" applyFont="1" applyBorder="1" applyAlignment="1">
      <alignment horizontal="center" vertical="center"/>
    </xf>
    <xf numFmtId="0" fontId="29" fillId="0" borderId="0" xfId="43" applyFont="1" applyAlignment="1">
      <alignment horizontal="center" vertical="center"/>
    </xf>
    <xf numFmtId="0" fontId="28" fillId="0" borderId="39" xfId="43" applyFont="1" applyBorder="1" applyAlignment="1">
      <alignment horizontal="center" vertical="center"/>
    </xf>
    <xf numFmtId="0" fontId="28" fillId="0" borderId="59" xfId="43" applyFont="1" applyBorder="1" applyAlignment="1">
      <alignment horizontal="center" vertical="center"/>
    </xf>
    <xf numFmtId="0" fontId="28" fillId="0" borderId="38" xfId="43" applyFont="1" applyBorder="1" applyAlignment="1">
      <alignment horizontal="center" vertical="center"/>
    </xf>
    <xf numFmtId="0" fontId="28" fillId="0" borderId="35" xfId="43" applyFont="1" applyBorder="1" applyAlignment="1">
      <alignment horizontal="center" vertical="center"/>
    </xf>
    <xf numFmtId="0" fontId="28" fillId="0" borderId="41" xfId="43" applyFont="1" applyBorder="1" applyAlignment="1">
      <alignment horizontal="center" vertical="center"/>
    </xf>
    <xf numFmtId="0" fontId="28" fillId="0" borderId="25" xfId="43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0" fillId="0" borderId="63" xfId="0" applyNumberFormat="1" applyBorder="1" applyAlignment="1">
      <alignment horizontal="center"/>
    </xf>
    <xf numFmtId="164" fontId="0" fillId="0" borderId="65" xfId="0" applyNumberFormat="1" applyBorder="1" applyAlignment="1">
      <alignment horizontal="center"/>
    </xf>
    <xf numFmtId="164" fontId="36" fillId="0" borderId="63" xfId="0" applyNumberFormat="1" applyFont="1" applyBorder="1" applyAlignment="1">
      <alignment horizontal="center"/>
    </xf>
    <xf numFmtId="164" fontId="36" fillId="0" borderId="65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50" xfId="0" applyBorder="1" applyAlignment="1" applyProtection="1">
      <alignment horizontal="center"/>
      <protection locked="0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770CE29-5EF9-4720-AA21-645AA881760B}"/>
    <cellStyle name="Normal 2 2" xfId="44" xr:uid="{6FBB5C79-1876-4DAE-857D-54658C8779C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MI" refreshedDate="44918.503111111109" createdVersion="7" refreshedVersion="7" minRefreshableVersion="3" recordCount="97" xr:uid="{A0CA700A-982D-4357-8CE2-B1EEE79FF8AA}">
  <cacheSource type="worksheet">
    <worksheetSource ref="B2:F99" sheet="Data"/>
  </cacheSource>
  <cacheFields count="5">
    <cacheField name="index" numFmtId="0">
      <sharedItems containsSemiMixedTypes="0" containsString="0" containsNumber="1" containsInteger="1" minValue="1" maxValue="39"/>
    </cacheField>
    <cacheField name="category umum" numFmtId="0">
      <sharedItems count="39">
        <s v="Band Saw"/>
        <s v="Bench Saw"/>
        <s v="Cold press Qiulin"/>
        <s v="Cross cut"/>
        <s v="DET"/>
        <s v="Edge Bander"/>
        <s v="Flat laminator"/>
        <s v="Glue Spreader"/>
        <s v="Hot Press"/>
        <s v="Hozo Line"/>
        <s v="HVC"/>
        <s v="Mizo line"/>
        <s v="Moulder"/>
        <s v="NC Router ( Heian )"/>
        <s v="NCB 3 (WEEKE BHX 050)"/>
        <s v="NCB1 Yasaka"/>
        <s v="NCBR (Pratix)"/>
        <s v="NCBR (SCM Z30)"/>
        <s v="NCBR (Morbidelli)"/>
        <s v="Onime Press"/>
        <s v="Panel Saw"/>
        <s v="Pin Router"/>
        <s v="Press R top NS-600A"/>
        <s v="Press R top NS-800A"/>
        <s v="Press xxx side"/>
        <s v="Profile Sander"/>
        <s v="Punch Press "/>
        <s v="PVC slitter"/>
        <s v="Rip saw XXX"/>
        <s v="Running Saw"/>
        <s v="Sizer"/>
        <s v="Soft Laminator"/>
        <s v="Swing cutter 700/350"/>
        <s v="Tilting table saw"/>
        <s v="Vacuum laminated press"/>
        <s v="VVC"/>
        <s v="VVC line moulder"/>
        <s v="WBS - Wide Belt Sander"/>
        <s v="Assy ( Manual/Orang )"/>
      </sharedItems>
    </cacheField>
    <cacheField name="Category PE" numFmtId="0">
      <sharedItems/>
    </cacheField>
    <cacheField name="Category akhir" numFmtId="0">
      <sharedItems/>
    </cacheField>
    <cacheField name="Kode mes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1"/>
    <x v="0"/>
    <s v="Band Saw"/>
    <s v="BAND SAW (SOCOMECC)"/>
    <s v="MNT00001"/>
  </r>
  <r>
    <n v="2"/>
    <x v="1"/>
    <s v="Bench Saw Body Line"/>
    <s v="BENCH SAW NO. 8 BODY LINE (TOKAI)"/>
    <s v="MNT00046"/>
  </r>
  <r>
    <n v="2"/>
    <x v="1"/>
    <s v="Bench Saw Body Line"/>
    <s v="BENCH SAW NO. 11 BODY LINE (TOKAI)"/>
    <s v="MNT00047"/>
  </r>
  <r>
    <n v="2"/>
    <x v="1"/>
    <s v="Bench Saw Body Line"/>
    <s v="BENCH SAW NO. 3 BODY LINE (AUTOFEEDER)"/>
    <s v="MNT00048"/>
  </r>
  <r>
    <n v="2"/>
    <x v="1"/>
    <s v="Bench Saw cabinet assy"/>
    <s v="BENCH SAW NO. 5 CABINET (TOKAI)"/>
    <s v="MNT00045"/>
  </r>
  <r>
    <n v="2"/>
    <x v="1"/>
    <s v="Bench Saw cornerwood"/>
    <s v="BENCH SAW NO. 1 CORNER WOOD (TOKAI)"/>
    <s v="MNT00040"/>
  </r>
  <r>
    <n v="2"/>
    <x v="1"/>
    <s v="Bench Saw cornerwood"/>
    <s v="BENCH SAW NO. 2 CORNER WOOD (TOKAI)"/>
    <s v="MNT00041"/>
  </r>
  <r>
    <n v="2"/>
    <x v="1"/>
    <s v="Bench Saw cornerwood"/>
    <s v="TRIANGLE SAW (TOKAI)"/>
    <s v="MNT00059"/>
  </r>
  <r>
    <n v="2"/>
    <x v="1"/>
    <s v="Bench Saw cornerwood"/>
    <s v="TABLE SAW NO. 1 CORNER WOOD (TOKAI)"/>
    <s v="MNT00060"/>
  </r>
  <r>
    <n v="2"/>
    <x v="1"/>
    <s v="Bench Saw Line BR"/>
    <s v="BENCH SAW NO. 11 LINE BR (HOLYTEK)"/>
    <s v="MNT00042"/>
  </r>
  <r>
    <n v="2"/>
    <x v="1"/>
    <s v="Bench Saw Line BR"/>
    <s v="BENCH SAW NO. 12 LINE BR (HOLYTEK)"/>
    <s v="MNT00043"/>
  </r>
  <r>
    <n v="2"/>
    <x v="1"/>
    <s v="Bench Saw Line BR"/>
    <s v="BENCH SAW NO. 13 LINE BR (HOLYTEK)"/>
    <s v="MNT00044"/>
  </r>
  <r>
    <n v="2"/>
    <x v="1"/>
    <s v="Bench Saw Line BR"/>
    <s v="TABLE SAW NO. 2 LINE BR (TOKAI)"/>
    <s v="MNT00061"/>
  </r>
  <r>
    <n v="3"/>
    <x v="2"/>
    <s v="Cold press Qiulin"/>
    <s v="COLD PRESS (QUILLIN)"/>
    <s v="MNT00063"/>
  </r>
  <r>
    <n v="3"/>
    <x v="2"/>
    <s v="Cold press Qiulin"/>
    <s v="COLD PRESS 20-120 TON QIULIN BY904X8/12"/>
    <s v="MNT01638"/>
  </r>
  <r>
    <n v="4"/>
    <x v="3"/>
    <s v="Cross cut"/>
    <s v="CROSS CUT (ICHIKAWA IKR-2.5X8)"/>
    <s v="MNT00103"/>
  </r>
  <r>
    <n v="5"/>
    <x v="4"/>
    <s v="DET1"/>
    <s v="DOUBLE END TENONER NO.1 (HEIAN TRN1208R17V4500)"/>
    <s v="MNT00083"/>
  </r>
  <r>
    <n v="5"/>
    <x v="4"/>
    <s v="DET2"/>
    <s v="DOUBLE END TENONER NO.2 (HOMAG FPL 266)"/>
    <s v="MNT00084"/>
  </r>
  <r>
    <n v="5"/>
    <x v="4"/>
    <s v="DET3"/>
    <s v="DOUBLE END TENONER NO.3 (HOMAG FPL 266)"/>
    <s v="MNT00085"/>
  </r>
  <r>
    <n v="6"/>
    <x v="5"/>
    <s v="Edge Bander CEFINE"/>
    <s v="EDGE BANDER NO. 2 (BRANDT OPTIMAT NKR 780 F 20) - CEFINE"/>
    <s v="MNT00071"/>
  </r>
  <r>
    <n v="6"/>
    <x v="5"/>
    <s v="Edge Bander kecil"/>
    <s v="EDGE BANDER NO. 3 (BRANDT OPTIMAT KDN350C ) - kecil"/>
    <s v="MNT00072"/>
  </r>
  <r>
    <n v="7"/>
    <x v="6"/>
    <s v="Flat laminator"/>
    <s v="FLAT LAMINATOR (SUGII MACHINEERY WORKS)"/>
    <s v="MNT00019"/>
  </r>
  <r>
    <n v="8"/>
    <x v="7"/>
    <s v="Glue spreader Hand Lam"/>
    <s v="GLUE SPREADER 1 Hand Lam1 (LIMAS ANUGERAH STEEL)"/>
    <s v="MNT00064"/>
  </r>
  <r>
    <n v="8"/>
    <x v="7"/>
    <s v="Glue spreader Hand Lam"/>
    <s v="GLUE SPREADER 2 Hand Lam2 (LIMAS ANUGERAH STEEL)"/>
    <s v="MNT00065"/>
  </r>
  <r>
    <n v="8"/>
    <x v="7"/>
    <s v="Glue spreader mini"/>
    <s v="SPREADER GLUE MACHINE (ARDELIA MUSINDO )"/>
    <s v="MNT01645"/>
  </r>
  <r>
    <n v="8"/>
    <x v="7"/>
    <s v="Glue spreader WEILI"/>
    <s v="GLUE SPREADER 5 (WEILLI)"/>
    <s v="MNT00068"/>
  </r>
  <r>
    <n v="8"/>
    <x v="7"/>
    <s v="Glue spreader XXX side"/>
    <s v="GLUE SPREADER 4 (TIRTAMAS PERKASA)"/>
    <s v="MNT00067"/>
  </r>
  <r>
    <n v="9"/>
    <x v="8"/>
    <s v="Hot press 700 series"/>
    <s v="HOT PRESS 700 series (TIRTAMAS PERKASA)"/>
    <s v="MNT00020"/>
  </r>
  <r>
    <n v="10"/>
    <x v="9"/>
    <s v="Hozo line moulder"/>
    <s v="MOULDER NO. 10 HOZOLINE (SHODA)"/>
    <s v="MNT00029"/>
  </r>
  <r>
    <n v="10"/>
    <x v="9"/>
    <s v="Hozo line moulder"/>
    <s v="MOULDER NO. 9 HOZOLINE (SHODA)"/>
    <s v="MNT00030"/>
  </r>
  <r>
    <n v="11"/>
    <x v="10"/>
    <s v="HVC1"/>
    <s v="HORIZONTAL V CUT 1 (KYOUEI KE99006)"/>
    <s v="MNT00098"/>
  </r>
  <r>
    <n v="11"/>
    <x v="10"/>
    <s v="HVC2"/>
    <s v="HORIZONTAL V CUT 2 (KYOUEI KE99006)"/>
    <s v="MNT00099"/>
  </r>
  <r>
    <n v="11"/>
    <x v="10"/>
    <s v="HVC3 Zafaroni"/>
    <s v="HORIZONTAL V CUT 3 (ZAFFARONI SMT 5TP/8C)"/>
    <s v="MNT00100"/>
  </r>
  <r>
    <n v="12"/>
    <x v="11"/>
    <s v="Mizo line Bench Saw"/>
    <s v="BENCH SAW NO. 6 MIZOLINE (TOKAI)"/>
    <s v="MNT00038"/>
  </r>
  <r>
    <n v="12"/>
    <x v="11"/>
    <s v="Mizo line Bench Saw"/>
    <s v="BENCH SAW NO. 14 MIZOLINE (TOKAI)"/>
    <s v="MNT00039"/>
  </r>
  <r>
    <n v="13"/>
    <x v="12"/>
    <s v="Moulder"/>
    <s v="MOULDER NO. 11 LINE BR (RULONG)"/>
    <s v="MNT00024"/>
  </r>
  <r>
    <n v="13"/>
    <x v="12"/>
    <s v="Moulder"/>
    <s v="MOULDER NO. 12 LINE BR (RULONG)"/>
    <s v="MNT00025"/>
  </r>
  <r>
    <n v="13"/>
    <x v="12"/>
    <s v="Moulder"/>
    <s v="MOULDER NO. 1 CABINET (CHAMFOND)"/>
    <s v="MNT00026"/>
  </r>
  <r>
    <n v="13"/>
    <x v="12"/>
    <s v="Moulder"/>
    <s v="MOULDER NO. 7 NCR4 AREA (RULONG)"/>
    <s v="MNT00032"/>
  </r>
  <r>
    <n v="13"/>
    <x v="12"/>
    <s v="Moulder"/>
    <s v="MOULDER NO. 2 CABINET (CHAMFOND)"/>
    <s v="MNT00033"/>
  </r>
  <r>
    <n v="13"/>
    <x v="12"/>
    <s v="Moulder"/>
    <s v="MOULDER NO. 3 CABINET (CHAMFOND)"/>
    <s v="MNT00034"/>
  </r>
  <r>
    <n v="14"/>
    <x v="13"/>
    <s v="NC Router ( Heian )"/>
    <s v="NC ROUTER NO.1 (HEIAN ER-4311-D4-2113/9100836)"/>
    <s v="MNT00052"/>
  </r>
  <r>
    <n v="1"/>
    <x v="13"/>
    <s v="NC Router ( Heian )"/>
    <s v="NC ROUTER NO.2 (HEIAN ER-431P-D4/9900418)"/>
    <s v="MNT00053"/>
  </r>
  <r>
    <n v="14"/>
    <x v="13"/>
    <s v="NC Router ( Heian )"/>
    <s v="NC ROUTER NO.3 (HEIAN ER-4311-D4-2113/9100836)"/>
    <s v="MNT00054"/>
  </r>
  <r>
    <n v="14"/>
    <x v="13"/>
    <s v="NC Router ( Heian )"/>
    <s v="NC ROUTER NO.4 (HEIAN ENC431P-1510 S/N:8901246)"/>
    <s v="MNT00055"/>
  </r>
  <r>
    <n v="14"/>
    <x v="13"/>
    <s v="NC Router ( Heian )"/>
    <s v="NC ROUTER NO.5 (HEIAN ENC431P-1510 S/N:8901247)"/>
    <s v="MNT00056"/>
  </r>
  <r>
    <n v="14"/>
    <x v="13"/>
    <s v="NC Router ( Heian )"/>
    <s v="NC ROUTER NO.6 (HEIAN ER-431-1310/2000680)"/>
    <s v="MNT00057"/>
  </r>
  <r>
    <n v="14"/>
    <x v="13"/>
    <s v="NC Router ( Heian )"/>
    <s v="NC ROUTER NO.7 (HEIAN ER-431P-1310/2000679)"/>
    <s v="MNT00058"/>
  </r>
  <r>
    <n v="14"/>
    <x v="13"/>
    <s v="NC Router ( Heian )"/>
    <s v="NC ROUTER NO.8 (HEIAN ER-431P-D4-2113)"/>
    <s v="MNT00499"/>
  </r>
  <r>
    <n v="15"/>
    <x v="14"/>
    <s v="NCB 3 (WEEKE BHX 050)"/>
    <s v="NCB 3 (WEEKE BHX 050)"/>
    <s v="MNT00080"/>
  </r>
  <r>
    <n v="16"/>
    <x v="15"/>
    <s v="NCB1 Yasaka"/>
    <s v="NCB 1 (YASAKA)"/>
    <s v="MNT00074"/>
  </r>
  <r>
    <n v="17"/>
    <x v="16"/>
    <s v="NCBR 1 (SCM PRATIX Z2)"/>
    <s v="NCBR 1 (SCM PRATIX Z2)"/>
    <s v="MNT00076"/>
  </r>
  <r>
    <n v="18"/>
    <x v="17"/>
    <s v="NCBR 2 (SCM Z30)"/>
    <s v="NCBR 2 (SCM Z30)"/>
    <s v="MNT00077"/>
  </r>
  <r>
    <n v="17"/>
    <x v="16"/>
    <s v="NCBR 3 (SCM PRATIX Z2)"/>
    <s v="NCBR 3 (SCM PRATIX Z2)"/>
    <s v="MNT00078"/>
  </r>
  <r>
    <n v="17"/>
    <x v="16"/>
    <s v="NCBR 4 (SCM PRATIX Z2)"/>
    <s v="NCBR 4 (SCM PRATIX Z2)"/>
    <s v="MNT00079"/>
  </r>
  <r>
    <n v="19"/>
    <x v="18"/>
    <s v="NCBR 5 (SCM MORBIDELLI)"/>
    <s v="NCBR 6 (SCM MORBIDELLI)"/>
    <s v="MNT01616"/>
  </r>
  <r>
    <n v="17"/>
    <x v="16"/>
    <s v="NCBR 5 (SCM PRATIX Z2)"/>
    <s v="NCBR 5 (SCM PRATIX Z2)"/>
    <s v="MNT00081"/>
  </r>
  <r>
    <n v="20"/>
    <x v="19"/>
    <s v="Onime press"/>
    <s v="ONIME PRESS (ORIMAGE)"/>
    <s v="MNT00104"/>
  </r>
  <r>
    <n v="21"/>
    <x v="20"/>
    <s v="Panel Saw"/>
    <s v="PANEL SAW NO.1 (ISHIZU)"/>
    <s v="MNT00016"/>
  </r>
  <r>
    <n v="21"/>
    <x v="20"/>
    <s v="Panel Saw"/>
    <s v="PANEL SAW NO.2 (SHINX)"/>
    <s v="MNT00017"/>
  </r>
  <r>
    <n v="21"/>
    <x v="20"/>
    <s v="Panel Saw"/>
    <s v="PANEL SAW NO. 3 (SHINX)"/>
    <s v="MNT00481"/>
  </r>
  <r>
    <n v="21"/>
    <x v="20"/>
    <s v="Panel Saw"/>
    <s v="PANEL SAW 4"/>
    <s v="MNT00693"/>
  </r>
  <r>
    <n v="22"/>
    <x v="21"/>
    <s v="Pin router Jepang"/>
    <s v="PIN ROUTER NO.3 (SHODA RO 116)"/>
    <s v="MNT00004"/>
  </r>
  <r>
    <n v="22"/>
    <x v="21"/>
    <s v="Pin router Jepang"/>
    <s v="PIN ROUTER NO.4 (SHODA RO 116)"/>
    <s v="MNT00005"/>
  </r>
  <r>
    <n v="22"/>
    <x v="21"/>
    <s v="Pin router Jepang"/>
    <s v="PIN ROUTER NO.5 (SHODA RO 116)"/>
    <s v="MNT00006"/>
  </r>
  <r>
    <n v="22"/>
    <x v="21"/>
    <s v="Pin router Jepang"/>
    <s v="PIN ROUTER NO.6 (SHODA RO 116)"/>
    <s v="MNT00007"/>
  </r>
  <r>
    <n v="22"/>
    <x v="21"/>
    <s v="Pin router Jepang"/>
    <s v="PIN ROUTER NO.7 (SHODA RO 116)"/>
    <s v="MNT00008"/>
  </r>
  <r>
    <n v="22"/>
    <x v="21"/>
    <s v="Pinr Router China"/>
    <s v="PIN ROUTER NO.11 (HOLYTEK HR-7)"/>
    <s v="MNT00012"/>
  </r>
  <r>
    <n v="22"/>
    <x v="21"/>
    <s v="Pinr Router China"/>
    <s v="PIN ROUTER NO.12 (HOLYTEK HR-7)"/>
    <s v="MNT00013"/>
  </r>
  <r>
    <n v="22"/>
    <x v="21"/>
    <s v="Pinr Router China"/>
    <s v="PIN ROUTER NO.13 (HOLYTEK HR-7)"/>
    <s v="MNT00014"/>
  </r>
  <r>
    <n v="22"/>
    <x v="21"/>
    <s v="Pinr Router China"/>
    <s v="PIN ROUTER NO.14 (HOLYTEK HR-7)"/>
    <s v="MNT00015"/>
  </r>
  <r>
    <n v="23"/>
    <x v="22"/>
    <s v="Press R top NS-600A"/>
    <s v="PRESS MACHINE TOYO &amp; YPS-22 NO.1  (NS-600A)"/>
    <s v="MNT01646"/>
  </r>
  <r>
    <n v="24"/>
    <x v="23"/>
    <s v="Press R top NS-800A"/>
    <s v="PRESS MACHINE TOYO &amp; YPS-22 NO.2 (NS-800A)"/>
    <s v="MNT01647"/>
  </r>
  <r>
    <n v="25"/>
    <x v="24"/>
    <s v="Press xxx side1"/>
    <s v="PRESS JIG 1 (PEKE-PEKE) BENGKEL MANDIRI"/>
    <s v="MNT00095"/>
  </r>
  <r>
    <n v="25"/>
    <x v="24"/>
    <s v="Press xxx side1"/>
    <s v="PRESS JIG 2 (PEKE-PEKE) BENGKEL MANDIRI"/>
    <s v="MNT00096"/>
  </r>
  <r>
    <n v="25"/>
    <x v="24"/>
    <s v="Press xxx side1"/>
    <s v="PRESS JIG 3 (PEKE-PEKE) BENGKEL MANDIRI"/>
    <s v="MNT00097"/>
  </r>
  <r>
    <n v="26"/>
    <x v="25"/>
    <s v="Profile Sander1"/>
    <s v="PROFILE SANDER 1 (SIMURA SR-100W.PJ)"/>
    <s v="MNT00086"/>
  </r>
  <r>
    <n v="26"/>
    <x v="25"/>
    <s v="Profile sander2"/>
    <s v="PROFILE SANDER 2 (SIMURA HR - S2 / 102HR004)"/>
    <s v="MNT00087"/>
  </r>
  <r>
    <n v="27"/>
    <x v="26"/>
    <s v="Punch Press "/>
    <s v="PUNCHING PRESS (YZ COMPANY)"/>
    <s v="MNT00106"/>
  </r>
  <r>
    <n v="28"/>
    <x v="27"/>
    <s v="PVC slitter"/>
    <s v="PVC SLITTER (MARUNAKA W-1300)"/>
    <s v="MNT00093"/>
  </r>
  <r>
    <n v="28"/>
    <x v="27"/>
    <s v="PVC slitter"/>
    <s v="PVC SLITTER (SYOUEI GIKEN W-1300)"/>
    <s v="MNT01640"/>
  </r>
  <r>
    <n v="29"/>
    <x v="28"/>
    <s v="Rip saw XXX"/>
    <s v="RIP SAW (HXN MACHINE MJ 400 x 3)"/>
    <s v="MNT00094"/>
  </r>
  <r>
    <n v="30"/>
    <x v="29"/>
    <s v="Running Saw"/>
    <s v="RUNNING SAW 1 (HOLZMA)"/>
    <s v="MNT00021"/>
  </r>
  <r>
    <n v="30"/>
    <x v="29"/>
    <s v="Running Saw"/>
    <s v="RUNNING SAW 2 (HOLZMA)"/>
    <s v="MNT00022"/>
  </r>
  <r>
    <n v="30"/>
    <x v="29"/>
    <s v="Running Saw"/>
    <s v="RUNNING SAW 3 (SCM)"/>
    <s v="MNT00023"/>
  </r>
  <r>
    <n v="31"/>
    <x v="30"/>
    <s v="Sizer"/>
    <s v="SIZER (HEIAN TRZ 1206EHV3500)"/>
    <s v="MNT00088"/>
  </r>
  <r>
    <n v="32"/>
    <x v="31"/>
    <s v="Soft laminator 1"/>
    <s v="SOFT LAMINATOR 1 (MARUNAKA SPL-600E / 1454)"/>
    <s v="MNT00091"/>
  </r>
  <r>
    <n v="32"/>
    <x v="31"/>
    <s v="Soft laminator 2"/>
    <s v="SOFT LAMINATOR 2 (SHOAO BEI SB-F11 130742)"/>
    <s v="MNT00092"/>
  </r>
  <r>
    <n v="33"/>
    <x v="32"/>
    <s v="Swing cutter 700/350"/>
    <s v="SWING CUTTER (CUTTING SIDE BOARD 17M03)"/>
    <s v="MNT00102"/>
  </r>
  <r>
    <n v="34"/>
    <x v="33"/>
    <s v="Tilting table saw"/>
    <s v="TITLING TABLE SAW CORNER WOOD (HOLYTEK)"/>
    <s v="MNT00069"/>
  </r>
  <r>
    <n v="35"/>
    <x v="34"/>
    <s v="Vacuum laminated press"/>
    <s v="MEMBRANE PRESS (ORMA MACHINE ECO 25)"/>
    <s v="MNT00105"/>
  </r>
  <r>
    <n v="36"/>
    <x v="35"/>
    <s v="VVC 1"/>
    <s v="VERTICAL V CUT NO.1 (KYOUEI 4-300-0010)"/>
    <s v="MNT00089"/>
  </r>
  <r>
    <n v="36"/>
    <x v="35"/>
    <s v="VVC 2"/>
    <s v="VERTICAL V CUT NO.2 (KYOUEI 4-300-0176)"/>
    <s v="MNT00090"/>
  </r>
  <r>
    <n v="37"/>
    <x v="36"/>
    <s v="VVC line moulder"/>
    <s v="MOULDER NO. 4 VVC 1 (CHAMFOND)"/>
    <s v="MNT00027"/>
  </r>
  <r>
    <n v="37"/>
    <x v="36"/>
    <s v="VVC line moulder"/>
    <s v="MOULDER NO. 5 VVC 1 (CHAMFOND)"/>
    <s v="MNT00028"/>
  </r>
  <r>
    <n v="38"/>
    <x v="37"/>
    <s v="WBS - Wide Belt Sander"/>
    <s v="WIDE BELT SANDER (AMITEC)"/>
    <s v="MNT00018"/>
  </r>
  <r>
    <n v="39"/>
    <x v="38"/>
    <s v="Assembly by hand/Man"/>
    <s v="Assembly by Hand/Man"/>
    <s v="MNT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E49A6-AAD6-40D1-8F75-59D2A50E89A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3" firstHeaderRow="1" firstDataRow="1" firstDataCol="1"/>
  <pivotFields count="5">
    <pivotField showAll="0"/>
    <pivotField axis="axisRow" showAll="0">
      <items count="40">
        <item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file:///C:\uploads\MNT_MANUAL_BOOK\MNT00024-M.pdf" TargetMode="External"/><Relationship Id="rId117" Type="http://schemas.openxmlformats.org/officeDocument/2006/relationships/hyperlink" Target="file:///C:\uploads\MNT_MANUAL_BOOK\MNT00105-M.pdf" TargetMode="External"/><Relationship Id="rId21" Type="http://schemas.openxmlformats.org/officeDocument/2006/relationships/hyperlink" Target="file:///C:\uploads\MNT_MANUAL_BOOK\MNT00022-M.pdf" TargetMode="External"/><Relationship Id="rId42" Type="http://schemas.openxmlformats.org/officeDocument/2006/relationships/hyperlink" Target="file:///C:\uploads\MNT_MANUAL_BOOK\MNT00044-M.pdf" TargetMode="External"/><Relationship Id="rId47" Type="http://schemas.openxmlformats.org/officeDocument/2006/relationships/hyperlink" Target="file:///C:\uploads\MNT_MANUAL_BOOK\MNT00052-E.pdf" TargetMode="External"/><Relationship Id="rId63" Type="http://schemas.openxmlformats.org/officeDocument/2006/relationships/hyperlink" Target="file:///C:\uploads\MNT_MANUAL_BOOK\MNT00068-M.pdf" TargetMode="External"/><Relationship Id="rId68" Type="http://schemas.openxmlformats.org/officeDocument/2006/relationships/hyperlink" Target="file:///C:\uploads\MNT_MANUAL_BOOK\MNT00072-E.pdf" TargetMode="External"/><Relationship Id="rId84" Type="http://schemas.openxmlformats.org/officeDocument/2006/relationships/hyperlink" Target="file:///C:\uploads\MNT_MANUAL_BOOK\MNT00080-E.pdf" TargetMode="External"/><Relationship Id="rId89" Type="http://schemas.openxmlformats.org/officeDocument/2006/relationships/hyperlink" Target="file:///C:\uploads\MNT_MANUAL_BOOK\MNT00081-S.pdf" TargetMode="External"/><Relationship Id="rId112" Type="http://schemas.openxmlformats.org/officeDocument/2006/relationships/hyperlink" Target="file:///C:\uploads\MNT_MANUAL_BOOK\MNT00100-M.pdf" TargetMode="External"/><Relationship Id="rId16" Type="http://schemas.openxmlformats.org/officeDocument/2006/relationships/hyperlink" Target="file:///C:\uploads\MNT_MANUAL_BOOK\MNT00019-M.pdf" TargetMode="External"/><Relationship Id="rId107" Type="http://schemas.openxmlformats.org/officeDocument/2006/relationships/hyperlink" Target="file:///C:\uploads\MNT_MANUAL_BOOK\MNT00098-E.pdf" TargetMode="External"/><Relationship Id="rId11" Type="http://schemas.openxmlformats.org/officeDocument/2006/relationships/hyperlink" Target="file:///C:\uploads\MNT_MANUAL_BOOK\MNT00016-M.pdf" TargetMode="External"/><Relationship Id="rId32" Type="http://schemas.openxmlformats.org/officeDocument/2006/relationships/hyperlink" Target="file:///C:\uploads\MNT_MANUAL_BOOK\MNT00030-M.pdf" TargetMode="External"/><Relationship Id="rId37" Type="http://schemas.openxmlformats.org/officeDocument/2006/relationships/hyperlink" Target="file:///C:\uploads\MNT_MANUAL_BOOK\MNT00039-M.pdf" TargetMode="External"/><Relationship Id="rId53" Type="http://schemas.openxmlformats.org/officeDocument/2006/relationships/hyperlink" Target="file:///C:\uploads\MNT_MANUAL_BOOK\MNT00055-E.pdf" TargetMode="External"/><Relationship Id="rId58" Type="http://schemas.openxmlformats.org/officeDocument/2006/relationships/hyperlink" Target="file:///C:\uploads\MNT_MANUAL_BOOK\MNT00057-M.pdf" TargetMode="External"/><Relationship Id="rId74" Type="http://schemas.openxmlformats.org/officeDocument/2006/relationships/hyperlink" Target="file:///C:\uploads\MNT_MANUAL_BOOK\MNT00076-S.pdf" TargetMode="External"/><Relationship Id="rId79" Type="http://schemas.openxmlformats.org/officeDocument/2006/relationships/hyperlink" Target="file:///C:\uploads\MNT_MANUAL_BOOK\MNT00078-M.pdf" TargetMode="External"/><Relationship Id="rId102" Type="http://schemas.openxmlformats.org/officeDocument/2006/relationships/hyperlink" Target="file:///C:\uploads\MNT_MANUAL_BOOK\MNT00090-E.pdf" TargetMode="External"/><Relationship Id="rId123" Type="http://schemas.openxmlformats.org/officeDocument/2006/relationships/hyperlink" Target="file:///C:\uploads\MNT_MANUAL_BOOK\MNT00693-M.pdf" TargetMode="External"/><Relationship Id="rId5" Type="http://schemas.openxmlformats.org/officeDocument/2006/relationships/hyperlink" Target="file:///C:\uploads\MNT_MANUAL_BOOK\MNT00007-M.pdf" TargetMode="External"/><Relationship Id="rId90" Type="http://schemas.openxmlformats.org/officeDocument/2006/relationships/hyperlink" Target="file:///C:\uploads\MNT_MANUAL_BOOK\MNT00083-E.pdf" TargetMode="External"/><Relationship Id="rId95" Type="http://schemas.openxmlformats.org/officeDocument/2006/relationships/hyperlink" Target="file:///C:\uploads\MNT_MANUAL_BOOK\MNT00085-M.pdf" TargetMode="External"/><Relationship Id="rId22" Type="http://schemas.openxmlformats.org/officeDocument/2006/relationships/hyperlink" Target="file:///C:\uploads\MNT_MANUAL_BOOK\MNT00022-S.pdf" TargetMode="External"/><Relationship Id="rId27" Type="http://schemas.openxmlformats.org/officeDocument/2006/relationships/hyperlink" Target="file:///C:\uploads\MNT_MANUAL_BOOK\MNT00025-M.pdf" TargetMode="External"/><Relationship Id="rId43" Type="http://schemas.openxmlformats.org/officeDocument/2006/relationships/hyperlink" Target="file:///C:\uploads\MNT_MANUAL_BOOK\MNT00045-M.pdf" TargetMode="External"/><Relationship Id="rId48" Type="http://schemas.openxmlformats.org/officeDocument/2006/relationships/hyperlink" Target="file:///C:\uploads\MNT_MANUAL_BOOK\MNT00052-M.pdf" TargetMode="External"/><Relationship Id="rId64" Type="http://schemas.openxmlformats.org/officeDocument/2006/relationships/hyperlink" Target="file:///C:\uploads\MNT_MANUAL_BOOK\MNT00069-M.pdf" TargetMode="External"/><Relationship Id="rId69" Type="http://schemas.openxmlformats.org/officeDocument/2006/relationships/hyperlink" Target="file:///C:\uploads\MNT_MANUAL_BOOK\MNT00072-M.pdf" TargetMode="External"/><Relationship Id="rId113" Type="http://schemas.openxmlformats.org/officeDocument/2006/relationships/hyperlink" Target="file:///C:\uploads\MNT_MANUAL_BOOK\MNT00100-S.pdf" TargetMode="External"/><Relationship Id="rId118" Type="http://schemas.openxmlformats.org/officeDocument/2006/relationships/hyperlink" Target="file:///C:\uploads\MNT_MANUAL_BOOK\MNT00481-E.pdf" TargetMode="External"/><Relationship Id="rId80" Type="http://schemas.openxmlformats.org/officeDocument/2006/relationships/hyperlink" Target="file:///C:\uploads\MNT_MANUAL_BOOK\MNT00078-S.pdf" TargetMode="External"/><Relationship Id="rId85" Type="http://schemas.openxmlformats.org/officeDocument/2006/relationships/hyperlink" Target="file:///C:\uploads\MNT_MANUAL_BOOK\MNT00080-M.pdf" TargetMode="External"/><Relationship Id="rId12" Type="http://schemas.openxmlformats.org/officeDocument/2006/relationships/hyperlink" Target="file:///C:\uploads\MNT_MANUAL_BOOK\MNT00017-E.pdf" TargetMode="External"/><Relationship Id="rId17" Type="http://schemas.openxmlformats.org/officeDocument/2006/relationships/hyperlink" Target="file:///C:\uploads\MNT_MANUAL_BOOK\MNT00021-E.pdf" TargetMode="External"/><Relationship Id="rId33" Type="http://schemas.openxmlformats.org/officeDocument/2006/relationships/hyperlink" Target="file:///C:\uploads\MNT_MANUAL_BOOK\MNT00032-M.pdf" TargetMode="External"/><Relationship Id="rId38" Type="http://schemas.openxmlformats.org/officeDocument/2006/relationships/hyperlink" Target="file:///C:\uploads\MNT_MANUAL_BOOK\MNT00040-M.pdf" TargetMode="External"/><Relationship Id="rId59" Type="http://schemas.openxmlformats.org/officeDocument/2006/relationships/hyperlink" Target="file:///C:\uploads\MNT_MANUAL_BOOK\MNT00058-E.pdf" TargetMode="External"/><Relationship Id="rId103" Type="http://schemas.openxmlformats.org/officeDocument/2006/relationships/hyperlink" Target="file:///C:\uploads\MNT_MANUAL_BOOK\MNT00090-S.pdf" TargetMode="External"/><Relationship Id="rId108" Type="http://schemas.openxmlformats.org/officeDocument/2006/relationships/hyperlink" Target="file:///C:\uploads\MNT_MANUAL_BOOK\MNT00098-M.pdf" TargetMode="External"/><Relationship Id="rId124" Type="http://schemas.openxmlformats.org/officeDocument/2006/relationships/hyperlink" Target="file:///C:\uploads\MNT_MANUAL_BOOK\MNT00693-S.pdf" TargetMode="External"/><Relationship Id="rId54" Type="http://schemas.openxmlformats.org/officeDocument/2006/relationships/hyperlink" Target="file:///C:\uploads\MNT_MANUAL_BOOK\MNT00055-M.pdf" TargetMode="External"/><Relationship Id="rId70" Type="http://schemas.openxmlformats.org/officeDocument/2006/relationships/hyperlink" Target="file:///C:\uploads\MNT_MANUAL_BOOK\MNT00072-S.pdf" TargetMode="External"/><Relationship Id="rId75" Type="http://schemas.openxmlformats.org/officeDocument/2006/relationships/hyperlink" Target="file:///C:\uploads\MNT_MANUAL_BOOK\MNT00077-E.pdf" TargetMode="External"/><Relationship Id="rId91" Type="http://schemas.openxmlformats.org/officeDocument/2006/relationships/hyperlink" Target="file:///C:\uploads\MNT_MANUAL_BOOK\MNT00084-E.pdf" TargetMode="External"/><Relationship Id="rId96" Type="http://schemas.openxmlformats.org/officeDocument/2006/relationships/hyperlink" Target="file:///C:\uploads\MNT_MANUAL_BOOK\MNT00085-S.pdf" TargetMode="External"/><Relationship Id="rId1" Type="http://schemas.openxmlformats.org/officeDocument/2006/relationships/hyperlink" Target="file:///C:\uploads\MNT_MANUAL_BOOK\MNT00001-M.pdf" TargetMode="External"/><Relationship Id="rId6" Type="http://schemas.openxmlformats.org/officeDocument/2006/relationships/hyperlink" Target="file:///C:\uploads\MNT_MANUAL_BOOK\MNT00008-M.pdf" TargetMode="External"/><Relationship Id="rId23" Type="http://schemas.openxmlformats.org/officeDocument/2006/relationships/hyperlink" Target="file:///C:\uploads\MNT_MANUAL_BOOK\MNT00023-E.pdf" TargetMode="External"/><Relationship Id="rId28" Type="http://schemas.openxmlformats.org/officeDocument/2006/relationships/hyperlink" Target="file:///C:\uploads\MNT_MANUAL_BOOK\MNT00026-M.pdf" TargetMode="External"/><Relationship Id="rId49" Type="http://schemas.openxmlformats.org/officeDocument/2006/relationships/hyperlink" Target="file:///C:\uploads\MNT_MANUAL_BOOK\MNT00053-E.pdf" TargetMode="External"/><Relationship Id="rId114" Type="http://schemas.openxmlformats.org/officeDocument/2006/relationships/hyperlink" Target="file:///C:\uploads\MNT_MANUAL_BOOK\MNT00102-E.pdf" TargetMode="External"/><Relationship Id="rId119" Type="http://schemas.openxmlformats.org/officeDocument/2006/relationships/hyperlink" Target="file:///C:\uploads\MNT_MANUAL_BOOK\MNT00481-M.pdf" TargetMode="External"/><Relationship Id="rId44" Type="http://schemas.openxmlformats.org/officeDocument/2006/relationships/hyperlink" Target="file:///C:\uploads\MNT_MANUAL_BOOK\MNT00046-M.pdf" TargetMode="External"/><Relationship Id="rId60" Type="http://schemas.openxmlformats.org/officeDocument/2006/relationships/hyperlink" Target="file:///C:\uploads\MNT_MANUAL_BOOK\MNT00058-M.pdf" TargetMode="External"/><Relationship Id="rId65" Type="http://schemas.openxmlformats.org/officeDocument/2006/relationships/hyperlink" Target="file:///C:\uploads\MNT_MANUAL_BOOK\MNT00071-E.pdf" TargetMode="External"/><Relationship Id="rId81" Type="http://schemas.openxmlformats.org/officeDocument/2006/relationships/hyperlink" Target="file:///C:\uploads\MNT_MANUAL_BOOK\MNT00079-E.pdf" TargetMode="External"/><Relationship Id="rId86" Type="http://schemas.openxmlformats.org/officeDocument/2006/relationships/hyperlink" Target="file:///C:\uploads\MNT_MANUAL_BOOK\MNT00080-S.pdf" TargetMode="External"/><Relationship Id="rId13" Type="http://schemas.openxmlformats.org/officeDocument/2006/relationships/hyperlink" Target="file:///C:\uploads\MNT_MANUAL_BOOK\MNT00017-M.pdf" TargetMode="External"/><Relationship Id="rId18" Type="http://schemas.openxmlformats.org/officeDocument/2006/relationships/hyperlink" Target="file:///C:\uploads\MNT_MANUAL_BOOK\MNT00021-M.pdf" TargetMode="External"/><Relationship Id="rId39" Type="http://schemas.openxmlformats.org/officeDocument/2006/relationships/hyperlink" Target="file:///C:\uploads\MNT_MANUAL_BOOK\MNT00041-M.pdf" TargetMode="External"/><Relationship Id="rId109" Type="http://schemas.openxmlformats.org/officeDocument/2006/relationships/hyperlink" Target="file:///C:\uploads\MNT_MANUAL_BOOK\MNT00099-E.pdf" TargetMode="External"/><Relationship Id="rId34" Type="http://schemas.openxmlformats.org/officeDocument/2006/relationships/hyperlink" Target="file:///C:\uploads\MNT_MANUAL_BOOK\MNT00033-M.pdf" TargetMode="External"/><Relationship Id="rId50" Type="http://schemas.openxmlformats.org/officeDocument/2006/relationships/hyperlink" Target="file:///C:\uploads\MNT_MANUAL_BOOK\MNT00053-M.pdf" TargetMode="External"/><Relationship Id="rId55" Type="http://schemas.openxmlformats.org/officeDocument/2006/relationships/hyperlink" Target="file:///C:\uploads\MNT_MANUAL_BOOK\MNT00056-E.pdf" TargetMode="External"/><Relationship Id="rId76" Type="http://schemas.openxmlformats.org/officeDocument/2006/relationships/hyperlink" Target="file:///C:\uploads\MNT_MANUAL_BOOK\MNT00077-M.pdf" TargetMode="External"/><Relationship Id="rId97" Type="http://schemas.openxmlformats.org/officeDocument/2006/relationships/hyperlink" Target="file:///C:\uploads\MNT_MANUAL_BOOK\MNT00086-M.pdf" TargetMode="External"/><Relationship Id="rId104" Type="http://schemas.openxmlformats.org/officeDocument/2006/relationships/hyperlink" Target="file:///C:\uploads\MNT_MANUAL_BOOK\MNT00091-M.pdf" TargetMode="External"/><Relationship Id="rId120" Type="http://schemas.openxmlformats.org/officeDocument/2006/relationships/hyperlink" Target="file:///C:\uploads\MNT_MANUAL_BOOK\MNT00499-E.pdf" TargetMode="External"/><Relationship Id="rId125" Type="http://schemas.openxmlformats.org/officeDocument/2006/relationships/hyperlink" Target="file:///C:\uploads\MNT_MANUAL_BOOK\MNT01616-E.pdf" TargetMode="External"/><Relationship Id="rId7" Type="http://schemas.openxmlformats.org/officeDocument/2006/relationships/hyperlink" Target="file:///C:\uploads\MNT_MANUAL_BOOK\MNT00012-M.pdf" TargetMode="External"/><Relationship Id="rId71" Type="http://schemas.openxmlformats.org/officeDocument/2006/relationships/hyperlink" Target="file:///C:\uploads\MNT_MANUAL_BOOK\MNT00074-M.pdf" TargetMode="External"/><Relationship Id="rId92" Type="http://schemas.openxmlformats.org/officeDocument/2006/relationships/hyperlink" Target="file:///C:\uploads\MNT_MANUAL_BOOK\MNT00084-M.pdf" TargetMode="External"/><Relationship Id="rId2" Type="http://schemas.openxmlformats.org/officeDocument/2006/relationships/hyperlink" Target="file:///C:\uploads\MNT_MANUAL_BOOK\MNT00004-M.pdf" TargetMode="External"/><Relationship Id="rId29" Type="http://schemas.openxmlformats.org/officeDocument/2006/relationships/hyperlink" Target="file:///C:\uploads\MNT_MANUAL_BOOK\MNT00027-M.pdf" TargetMode="External"/><Relationship Id="rId24" Type="http://schemas.openxmlformats.org/officeDocument/2006/relationships/hyperlink" Target="file:///C:\uploads\MNT_MANUAL_BOOK\MNT00023-M.pdf" TargetMode="External"/><Relationship Id="rId40" Type="http://schemas.openxmlformats.org/officeDocument/2006/relationships/hyperlink" Target="file:///C:\uploads\MNT_MANUAL_BOOK\MNT00042-M.pdf" TargetMode="External"/><Relationship Id="rId45" Type="http://schemas.openxmlformats.org/officeDocument/2006/relationships/hyperlink" Target="file:///C:\uploads\MNT_MANUAL_BOOK\MNT00047-M.pdf" TargetMode="External"/><Relationship Id="rId66" Type="http://schemas.openxmlformats.org/officeDocument/2006/relationships/hyperlink" Target="file:///C:\uploads\MNT_MANUAL_BOOK\MNT00071-M.pdf" TargetMode="External"/><Relationship Id="rId87" Type="http://schemas.openxmlformats.org/officeDocument/2006/relationships/hyperlink" Target="file:///C:\uploads\MNT_MANUAL_BOOK\MNT00081-E.pdf" TargetMode="External"/><Relationship Id="rId110" Type="http://schemas.openxmlformats.org/officeDocument/2006/relationships/hyperlink" Target="file:///C:\uploads\MNT_MANUAL_BOOK\MNT00099-M.pdf" TargetMode="External"/><Relationship Id="rId115" Type="http://schemas.openxmlformats.org/officeDocument/2006/relationships/hyperlink" Target="file:///C:\uploads\MNT_MANUAL_BOOK\MNT00103-E.pdf" TargetMode="External"/><Relationship Id="rId61" Type="http://schemas.openxmlformats.org/officeDocument/2006/relationships/hyperlink" Target="file:///C:\uploads\MNT_MANUAL_BOOK\MNT00060-M.pdf" TargetMode="External"/><Relationship Id="rId82" Type="http://schemas.openxmlformats.org/officeDocument/2006/relationships/hyperlink" Target="file:///C:\uploads\MNT_MANUAL_BOOK\MNT00079-M.pdf" TargetMode="External"/><Relationship Id="rId19" Type="http://schemas.openxmlformats.org/officeDocument/2006/relationships/hyperlink" Target="file:///C:\uploads\MNT_MANUAL_BOOK\MNT00021-S.pdf" TargetMode="External"/><Relationship Id="rId14" Type="http://schemas.openxmlformats.org/officeDocument/2006/relationships/hyperlink" Target="file:///C:\uploads\MNT_MANUAL_BOOK\MNT00018-M.pdf" TargetMode="External"/><Relationship Id="rId30" Type="http://schemas.openxmlformats.org/officeDocument/2006/relationships/hyperlink" Target="file:///C:\uploads\MNT_MANUAL_BOOK\MNT00028-M.pdf" TargetMode="External"/><Relationship Id="rId35" Type="http://schemas.openxmlformats.org/officeDocument/2006/relationships/hyperlink" Target="file:///C:\uploads\MNT_MANUAL_BOOK\MNT00034-M.pdf" TargetMode="External"/><Relationship Id="rId56" Type="http://schemas.openxmlformats.org/officeDocument/2006/relationships/hyperlink" Target="file:///C:\uploads\MNT_MANUAL_BOOK\MNT00056-M.pdf" TargetMode="External"/><Relationship Id="rId77" Type="http://schemas.openxmlformats.org/officeDocument/2006/relationships/hyperlink" Target="file:///C:\uploads\MNT_MANUAL_BOOK\MNT00077-S.pdf" TargetMode="External"/><Relationship Id="rId100" Type="http://schemas.openxmlformats.org/officeDocument/2006/relationships/hyperlink" Target="file:///C:\uploads\MNT_MANUAL_BOOK\MNT00089-E.pdf" TargetMode="External"/><Relationship Id="rId105" Type="http://schemas.openxmlformats.org/officeDocument/2006/relationships/hyperlink" Target="file:///C:\uploads\MNT_MANUAL_BOOK\MNT00092-M.pdf" TargetMode="External"/><Relationship Id="rId126" Type="http://schemas.openxmlformats.org/officeDocument/2006/relationships/hyperlink" Target="file:///C:\uploads\MNT_MANUAL_BOOK\MNT01616-M.pdf" TargetMode="External"/><Relationship Id="rId8" Type="http://schemas.openxmlformats.org/officeDocument/2006/relationships/hyperlink" Target="file:///C:\uploads\MNT_MANUAL_BOOK\MNT00013-M.pdf" TargetMode="External"/><Relationship Id="rId51" Type="http://schemas.openxmlformats.org/officeDocument/2006/relationships/hyperlink" Target="file:///C:\uploads\MNT_MANUAL_BOOK\MNT00054-E.pdf" TargetMode="External"/><Relationship Id="rId72" Type="http://schemas.openxmlformats.org/officeDocument/2006/relationships/hyperlink" Target="file:///C:\uploads\MNT_MANUAL_BOOK\MNT00076-E.pdf" TargetMode="External"/><Relationship Id="rId93" Type="http://schemas.openxmlformats.org/officeDocument/2006/relationships/hyperlink" Target="file:///C:\uploads\MNT_MANUAL_BOOK\MNT00084-S.pdf" TargetMode="External"/><Relationship Id="rId98" Type="http://schemas.openxmlformats.org/officeDocument/2006/relationships/hyperlink" Target="file:///C:\uploads\MNT_MANUAL_BOOK\MNT00087-M.pdf" TargetMode="External"/><Relationship Id="rId121" Type="http://schemas.openxmlformats.org/officeDocument/2006/relationships/hyperlink" Target="file:///C:\uploads\MNT_MANUAL_BOOK\MNT00499-M.pdf" TargetMode="External"/><Relationship Id="rId3" Type="http://schemas.openxmlformats.org/officeDocument/2006/relationships/hyperlink" Target="file:///C:\uploads\MNT_MANUAL_BOOK\MNT00005-M.pdf" TargetMode="External"/><Relationship Id="rId25" Type="http://schemas.openxmlformats.org/officeDocument/2006/relationships/hyperlink" Target="file:///C:\uploads\MNT_MANUAL_BOOK\MNT00023-S.pdf" TargetMode="External"/><Relationship Id="rId46" Type="http://schemas.openxmlformats.org/officeDocument/2006/relationships/hyperlink" Target="file:///C:\uploads\MNT_MANUAL_BOOK\MNT00048-M.pdf" TargetMode="External"/><Relationship Id="rId67" Type="http://schemas.openxmlformats.org/officeDocument/2006/relationships/hyperlink" Target="file:///C:\uploads\MNT_MANUAL_BOOK\MNT00071-S.pdf" TargetMode="External"/><Relationship Id="rId116" Type="http://schemas.openxmlformats.org/officeDocument/2006/relationships/hyperlink" Target="file:///C:\uploads\MNT_MANUAL_BOOK\MNT00103-M.pdf" TargetMode="External"/><Relationship Id="rId20" Type="http://schemas.openxmlformats.org/officeDocument/2006/relationships/hyperlink" Target="file:///C:\uploads\MNT_MANUAL_BOOK\MNT00022-E.pdf" TargetMode="External"/><Relationship Id="rId41" Type="http://schemas.openxmlformats.org/officeDocument/2006/relationships/hyperlink" Target="file:///C:\uploads\MNT_MANUAL_BOOK\MNT00043-M.pdf" TargetMode="External"/><Relationship Id="rId62" Type="http://schemas.openxmlformats.org/officeDocument/2006/relationships/hyperlink" Target="file:///C:\uploads\MNT_MANUAL_BOOK\MNT00061-M.pdf" TargetMode="External"/><Relationship Id="rId83" Type="http://schemas.openxmlformats.org/officeDocument/2006/relationships/hyperlink" Target="file:///C:\uploads\MNT_MANUAL_BOOK\MNT00079-S.pdf" TargetMode="External"/><Relationship Id="rId88" Type="http://schemas.openxmlformats.org/officeDocument/2006/relationships/hyperlink" Target="file:///C:\uploads\MNT_MANUAL_BOOK\MNT00081-M.pdf" TargetMode="External"/><Relationship Id="rId111" Type="http://schemas.openxmlformats.org/officeDocument/2006/relationships/hyperlink" Target="file:///C:\uploads\MNT_MANUAL_BOOK\MNT00100-E.pdf" TargetMode="External"/><Relationship Id="rId15" Type="http://schemas.openxmlformats.org/officeDocument/2006/relationships/hyperlink" Target="file:///C:\uploads\MNT_MANUAL_BOOK\MNT00019-E.pdf" TargetMode="External"/><Relationship Id="rId36" Type="http://schemas.openxmlformats.org/officeDocument/2006/relationships/hyperlink" Target="file:///C:\uploads\MNT_MANUAL_BOOK\MNT00038-M.pdf" TargetMode="External"/><Relationship Id="rId57" Type="http://schemas.openxmlformats.org/officeDocument/2006/relationships/hyperlink" Target="file:///C:\uploads\MNT_MANUAL_BOOK\MNT00057-E.pdf" TargetMode="External"/><Relationship Id="rId106" Type="http://schemas.openxmlformats.org/officeDocument/2006/relationships/hyperlink" Target="file:///C:\uploads\MNT_MANUAL_BOOK\MNT00093-M.pdf" TargetMode="External"/><Relationship Id="rId127" Type="http://schemas.openxmlformats.org/officeDocument/2006/relationships/hyperlink" Target="file:///C:\uploads\MNT_MANUAL_BOOK\MNT01616-S.pdf" TargetMode="External"/><Relationship Id="rId10" Type="http://schemas.openxmlformats.org/officeDocument/2006/relationships/hyperlink" Target="file:///C:\uploads\MNT_MANUAL_BOOK\MNT00015-M.pdf" TargetMode="External"/><Relationship Id="rId31" Type="http://schemas.openxmlformats.org/officeDocument/2006/relationships/hyperlink" Target="file:///C:\uploads\MNT_MANUAL_BOOK\MNT00029-M.pdf" TargetMode="External"/><Relationship Id="rId52" Type="http://schemas.openxmlformats.org/officeDocument/2006/relationships/hyperlink" Target="file:///C:\uploads\MNT_MANUAL_BOOK\MNT00054-M.pdf" TargetMode="External"/><Relationship Id="rId73" Type="http://schemas.openxmlformats.org/officeDocument/2006/relationships/hyperlink" Target="file:///C:\uploads\MNT_MANUAL_BOOK\MNT00076-M.pdf" TargetMode="External"/><Relationship Id="rId78" Type="http://schemas.openxmlformats.org/officeDocument/2006/relationships/hyperlink" Target="file:///C:\uploads\MNT_MANUAL_BOOK\MNT00078-E.pdf" TargetMode="External"/><Relationship Id="rId94" Type="http://schemas.openxmlformats.org/officeDocument/2006/relationships/hyperlink" Target="file:///C:\uploads\MNT_MANUAL_BOOK\MNT00085-E.pdf" TargetMode="External"/><Relationship Id="rId99" Type="http://schemas.openxmlformats.org/officeDocument/2006/relationships/hyperlink" Target="file:///C:\uploads\MNT_MANUAL_BOOK\MNT00088-E.pdf" TargetMode="External"/><Relationship Id="rId101" Type="http://schemas.openxmlformats.org/officeDocument/2006/relationships/hyperlink" Target="file:///C:\uploads\MNT_MANUAL_BOOK\MNT00089-S.pdf" TargetMode="External"/><Relationship Id="rId122" Type="http://schemas.openxmlformats.org/officeDocument/2006/relationships/hyperlink" Target="file:///C:\uploads\MNT_MANUAL_BOOK\MNT00693-E.pdf" TargetMode="External"/><Relationship Id="rId4" Type="http://schemas.openxmlformats.org/officeDocument/2006/relationships/hyperlink" Target="file:///C:\uploads\MNT_MANUAL_BOOK\MNT00006-M.pdf" TargetMode="External"/><Relationship Id="rId9" Type="http://schemas.openxmlformats.org/officeDocument/2006/relationships/hyperlink" Target="file:///C:\uploads\MNT_MANUAL_BOOK\MNT00014-M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4AD6-1A87-4A29-BF41-FE9DEAB220B0}">
  <sheetPr codeName="Sheet1">
    <pageSetUpPr fitToPage="1"/>
  </sheetPr>
  <dimension ref="A1:AL60"/>
  <sheetViews>
    <sheetView view="pageBreakPreview" zoomScaleNormal="100" zoomScaleSheetLayoutView="100" workbookViewId="0">
      <selection activeCell="H10" sqref="H10"/>
    </sheetView>
  </sheetViews>
  <sheetFormatPr defaultRowHeight="15" x14ac:dyDescent="0.25"/>
  <cols>
    <col min="1" max="34" width="2.85546875" style="71" customWidth="1"/>
    <col min="35" max="16384" width="9.140625" style="71"/>
  </cols>
  <sheetData>
    <row r="1" spans="1:38" x14ac:dyDescent="0.25">
      <c r="A1" s="66"/>
      <c r="B1" s="67"/>
      <c r="C1" s="68"/>
      <c r="D1" s="68"/>
      <c r="E1" s="67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9"/>
      <c r="AI1" s="70"/>
      <c r="AJ1" s="70"/>
      <c r="AK1" s="70"/>
      <c r="AL1" s="70"/>
    </row>
    <row r="2" spans="1:38" ht="18" x14ac:dyDescent="0.25">
      <c r="A2" s="72"/>
      <c r="B2" s="228" t="s">
        <v>363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74"/>
      <c r="AI2" s="70"/>
      <c r="AJ2" s="70"/>
      <c r="AK2" s="70"/>
      <c r="AL2" s="70"/>
    </row>
    <row r="3" spans="1:38" ht="18" x14ac:dyDescent="0.25">
      <c r="A3" s="72"/>
      <c r="B3" s="75"/>
      <c r="C3" s="70"/>
      <c r="D3" s="70"/>
      <c r="E3" s="75"/>
      <c r="F3" s="73"/>
      <c r="G3" s="73"/>
      <c r="H3" s="73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3"/>
      <c r="AC3" s="73"/>
      <c r="AD3" s="70"/>
      <c r="AE3" s="70"/>
      <c r="AF3" s="70"/>
      <c r="AG3" s="73"/>
      <c r="AH3" s="76"/>
      <c r="AI3" s="70"/>
      <c r="AJ3" s="70"/>
      <c r="AK3" s="70"/>
      <c r="AL3" s="70"/>
    </row>
    <row r="4" spans="1:38" ht="18" x14ac:dyDescent="0.25">
      <c r="A4" s="72"/>
      <c r="B4" s="228" t="s">
        <v>344</v>
      </c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74"/>
      <c r="AI4" s="70"/>
      <c r="AJ4" s="70"/>
      <c r="AK4" s="70"/>
      <c r="AL4" s="70"/>
    </row>
    <row r="5" spans="1:38" x14ac:dyDescent="0.25">
      <c r="A5" s="72"/>
      <c r="B5" s="77"/>
      <c r="C5" s="70"/>
      <c r="D5" s="70"/>
      <c r="E5" s="77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8"/>
      <c r="T5" s="70"/>
      <c r="U5" s="70"/>
      <c r="V5" s="70"/>
      <c r="W5" s="70"/>
      <c r="X5" s="70"/>
      <c r="Y5" s="70"/>
      <c r="Z5" s="79"/>
      <c r="AA5" s="70"/>
      <c r="AB5" s="70"/>
      <c r="AC5" s="70"/>
      <c r="AD5" s="70"/>
      <c r="AE5" s="70"/>
      <c r="AF5" s="70"/>
      <c r="AG5" s="70"/>
      <c r="AH5" s="76"/>
      <c r="AI5" s="70"/>
      <c r="AJ5" s="70"/>
      <c r="AK5" s="70"/>
      <c r="AL5" s="70"/>
    </row>
    <row r="6" spans="1:38" x14ac:dyDescent="0.25">
      <c r="A6" s="72"/>
      <c r="B6" s="80" t="s">
        <v>345</v>
      </c>
      <c r="C6" s="81"/>
      <c r="D6" s="81"/>
      <c r="E6" s="81"/>
      <c r="F6" s="81"/>
      <c r="G6" s="82" t="s">
        <v>346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5" t="s">
        <v>347</v>
      </c>
      <c r="S6" s="81"/>
      <c r="T6" s="81"/>
      <c r="U6" s="81"/>
      <c r="V6" s="81"/>
      <c r="W6" s="81"/>
      <c r="X6" s="82" t="s">
        <v>346</v>
      </c>
      <c r="Y6" s="86"/>
      <c r="Z6" s="81"/>
      <c r="AA6" s="86"/>
      <c r="AB6" s="81"/>
      <c r="AC6" s="86"/>
      <c r="AD6" s="81"/>
      <c r="AE6" s="81"/>
      <c r="AF6" s="81"/>
      <c r="AG6" s="87"/>
      <c r="AH6" s="76"/>
      <c r="AI6" s="70"/>
      <c r="AJ6" s="70"/>
      <c r="AK6" s="70"/>
      <c r="AL6" s="70"/>
    </row>
    <row r="7" spans="1:38" x14ac:dyDescent="0.25">
      <c r="A7" s="72"/>
      <c r="B7" s="88"/>
      <c r="C7" s="70"/>
      <c r="D7" s="70"/>
      <c r="E7" s="70"/>
      <c r="F7" s="70"/>
      <c r="G7" s="89"/>
      <c r="H7" s="90"/>
      <c r="I7" s="90"/>
      <c r="J7" s="90"/>
      <c r="K7" s="90"/>
      <c r="L7" s="90"/>
      <c r="M7" s="90"/>
      <c r="N7" s="90"/>
      <c r="O7" s="90"/>
      <c r="P7" s="90"/>
      <c r="Q7" s="90"/>
      <c r="R7" s="91"/>
      <c r="S7" s="70"/>
      <c r="T7" s="70"/>
      <c r="U7" s="70"/>
      <c r="V7" s="70"/>
      <c r="W7" s="70"/>
      <c r="X7" s="89"/>
      <c r="Y7" s="70"/>
      <c r="Z7" s="70"/>
      <c r="AA7" s="92"/>
      <c r="AB7" s="70"/>
      <c r="AC7" s="92"/>
      <c r="AD7" s="70"/>
      <c r="AE7" s="70"/>
      <c r="AF7" s="70"/>
      <c r="AG7" s="93"/>
      <c r="AH7" s="76"/>
    </row>
    <row r="8" spans="1:38" x14ac:dyDescent="0.25">
      <c r="A8" s="72"/>
      <c r="B8" s="88"/>
      <c r="C8" s="70"/>
      <c r="D8" s="70"/>
      <c r="E8" s="70"/>
      <c r="F8" s="70"/>
      <c r="G8" s="89"/>
      <c r="H8" s="90"/>
      <c r="I8" s="90"/>
      <c r="J8" s="90"/>
      <c r="K8" s="90"/>
      <c r="L8" s="90"/>
      <c r="M8" s="90"/>
      <c r="N8" s="90"/>
      <c r="O8" s="90"/>
      <c r="P8" s="90"/>
      <c r="Q8" s="90"/>
      <c r="R8" s="91"/>
      <c r="S8" s="70"/>
      <c r="T8" s="70"/>
      <c r="U8" s="70"/>
      <c r="V8" s="70"/>
      <c r="W8" s="70"/>
      <c r="X8" s="89"/>
      <c r="Y8" s="70"/>
      <c r="Z8" s="70"/>
      <c r="AA8" s="92"/>
      <c r="AB8" s="70"/>
      <c r="AC8" s="92"/>
      <c r="AD8" s="70"/>
      <c r="AE8" s="70"/>
      <c r="AF8" s="70"/>
      <c r="AG8" s="93"/>
      <c r="AH8" s="76"/>
    </row>
    <row r="9" spans="1:38" x14ac:dyDescent="0.25">
      <c r="A9" s="72"/>
      <c r="B9" s="88"/>
      <c r="C9" s="70"/>
      <c r="D9" s="70"/>
      <c r="E9" s="70"/>
      <c r="F9" s="70"/>
      <c r="G9" s="89"/>
      <c r="H9" s="92"/>
      <c r="I9" s="70"/>
      <c r="J9" s="70"/>
      <c r="K9" s="70"/>
      <c r="L9" s="70"/>
      <c r="M9" s="70"/>
      <c r="N9" s="70"/>
      <c r="O9" s="70"/>
      <c r="P9" s="70"/>
      <c r="Q9" s="70"/>
      <c r="R9" s="91" t="s">
        <v>348</v>
      </c>
      <c r="S9" s="70"/>
      <c r="T9" s="70"/>
      <c r="U9" s="70"/>
      <c r="V9" s="70"/>
      <c r="W9" s="70"/>
      <c r="X9" s="89" t="s">
        <v>346</v>
      </c>
      <c r="Y9" s="94">
        <v>1</v>
      </c>
      <c r="Z9" s="95" t="s">
        <v>349</v>
      </c>
      <c r="AA9" s="94">
        <v>1</v>
      </c>
      <c r="AB9" s="95"/>
      <c r="AC9" s="94"/>
      <c r="AD9" s="70"/>
      <c r="AE9" s="70"/>
      <c r="AF9" s="70"/>
      <c r="AG9" s="93"/>
      <c r="AH9" s="76"/>
    </row>
    <row r="10" spans="1:38" x14ac:dyDescent="0.25">
      <c r="A10" s="72"/>
      <c r="B10" s="96" t="s">
        <v>350</v>
      </c>
      <c r="C10" s="79"/>
      <c r="D10" s="79"/>
      <c r="E10" s="79"/>
      <c r="F10" s="79"/>
      <c r="G10" s="97" t="s">
        <v>346</v>
      </c>
      <c r="H10" s="98"/>
      <c r="I10" s="79"/>
      <c r="J10" s="79"/>
      <c r="K10" s="79"/>
      <c r="L10" s="79"/>
      <c r="M10" s="79"/>
      <c r="N10" s="79"/>
      <c r="O10" s="79"/>
      <c r="P10" s="79"/>
      <c r="Q10" s="79"/>
      <c r="R10" s="99" t="s">
        <v>351</v>
      </c>
      <c r="S10" s="79"/>
      <c r="T10" s="79"/>
      <c r="U10" s="79"/>
      <c r="V10" s="79"/>
      <c r="W10" s="79"/>
      <c r="X10" s="97" t="s">
        <v>346</v>
      </c>
      <c r="Y10" s="100">
        <f>MAX(F14:I51)</f>
        <v>0</v>
      </c>
      <c r="Z10" s="79"/>
      <c r="AA10" s="98"/>
      <c r="AB10" s="79"/>
      <c r="AC10" s="98"/>
      <c r="AD10" s="79"/>
      <c r="AE10" s="79"/>
      <c r="AF10" s="79"/>
      <c r="AG10" s="101"/>
      <c r="AH10" s="76"/>
      <c r="AI10" s="102" t="s">
        <v>352</v>
      </c>
    </row>
    <row r="11" spans="1:38" x14ac:dyDescent="0.25">
      <c r="A11" s="72"/>
      <c r="B11" s="77"/>
      <c r="C11" s="70"/>
      <c r="D11" s="70"/>
      <c r="E11" s="77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6"/>
    </row>
    <row r="12" spans="1:38" x14ac:dyDescent="0.25">
      <c r="A12" s="72"/>
      <c r="B12" s="229" t="s">
        <v>353</v>
      </c>
      <c r="C12" s="230"/>
      <c r="D12" s="230"/>
      <c r="E12" s="230"/>
      <c r="F12" s="229" t="s">
        <v>353</v>
      </c>
      <c r="G12" s="230"/>
      <c r="H12" s="230"/>
      <c r="I12" s="231"/>
      <c r="J12" s="229" t="s">
        <v>354</v>
      </c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1"/>
      <c r="AC12" s="229" t="s">
        <v>355</v>
      </c>
      <c r="AD12" s="230"/>
      <c r="AE12" s="230"/>
      <c r="AF12" s="230"/>
      <c r="AG12" s="231"/>
      <c r="AH12" s="76"/>
    </row>
    <row r="13" spans="1:38" x14ac:dyDescent="0.25">
      <c r="A13" s="72"/>
      <c r="B13" s="232" t="s">
        <v>356</v>
      </c>
      <c r="C13" s="233"/>
      <c r="D13" s="233"/>
      <c r="E13" s="233"/>
      <c r="F13" s="232" t="s">
        <v>357</v>
      </c>
      <c r="G13" s="233"/>
      <c r="H13" s="233"/>
      <c r="I13" s="234"/>
      <c r="J13" s="232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4"/>
      <c r="AC13" s="232" t="s">
        <v>358</v>
      </c>
      <c r="AD13" s="233"/>
      <c r="AE13" s="233"/>
      <c r="AF13" s="233"/>
      <c r="AG13" s="234"/>
      <c r="AH13" s="76"/>
    </row>
    <row r="14" spans="1:38" ht="16.5" x14ac:dyDescent="0.25">
      <c r="A14" s="103"/>
      <c r="B14" s="218"/>
      <c r="C14" s="202"/>
      <c r="D14" s="202"/>
      <c r="E14" s="203"/>
      <c r="F14" s="219">
        <v>0</v>
      </c>
      <c r="G14" s="220"/>
      <c r="H14" s="220"/>
      <c r="I14" s="221"/>
      <c r="J14" s="104" t="s">
        <v>359</v>
      </c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219"/>
      <c r="AD14" s="220"/>
      <c r="AE14" s="220"/>
      <c r="AF14" s="220"/>
      <c r="AG14" s="221"/>
      <c r="AH14" s="105"/>
    </row>
    <row r="15" spans="1:38" ht="16.5" x14ac:dyDescent="0.25">
      <c r="A15" s="103"/>
      <c r="B15" s="222"/>
      <c r="C15" s="223"/>
      <c r="D15" s="223"/>
      <c r="E15" s="224"/>
      <c r="F15" s="225"/>
      <c r="G15" s="226"/>
      <c r="H15" s="226"/>
      <c r="I15" s="227"/>
      <c r="J15" s="106"/>
      <c r="K15" s="107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225"/>
      <c r="AD15" s="226"/>
      <c r="AE15" s="226"/>
      <c r="AF15" s="226"/>
      <c r="AG15" s="227"/>
      <c r="AH15" s="105"/>
    </row>
    <row r="16" spans="1:38" ht="16.5" x14ac:dyDescent="0.25">
      <c r="A16" s="103"/>
      <c r="B16" s="214"/>
      <c r="C16" s="216"/>
      <c r="D16" s="216"/>
      <c r="E16" s="217"/>
      <c r="F16" s="201"/>
      <c r="G16" s="202"/>
      <c r="H16" s="202"/>
      <c r="I16" s="203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201"/>
      <c r="AD16" s="202"/>
      <c r="AE16" s="202"/>
      <c r="AF16" s="202"/>
      <c r="AG16" s="203"/>
      <c r="AH16" s="105"/>
    </row>
    <row r="17" spans="1:34" ht="16.5" x14ac:dyDescent="0.25">
      <c r="A17" s="103"/>
      <c r="B17" s="205"/>
      <c r="C17" s="206"/>
      <c r="D17" s="206"/>
      <c r="E17" s="207"/>
      <c r="F17" s="201"/>
      <c r="G17" s="202"/>
      <c r="H17" s="202"/>
      <c r="I17" s="203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201"/>
      <c r="AD17" s="202"/>
      <c r="AE17" s="202"/>
      <c r="AF17" s="202"/>
      <c r="AG17" s="203"/>
      <c r="AH17" s="105"/>
    </row>
    <row r="18" spans="1:34" ht="16.5" x14ac:dyDescent="0.25">
      <c r="A18" s="103"/>
      <c r="B18" s="205"/>
      <c r="C18" s="206"/>
      <c r="D18" s="206"/>
      <c r="E18" s="207"/>
      <c r="F18" s="201"/>
      <c r="G18" s="202"/>
      <c r="H18" s="202"/>
      <c r="I18" s="203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201"/>
      <c r="AD18" s="202"/>
      <c r="AE18" s="202"/>
      <c r="AF18" s="202"/>
      <c r="AG18" s="203"/>
      <c r="AH18" s="105"/>
    </row>
    <row r="19" spans="1:34" ht="16.5" x14ac:dyDescent="0.25">
      <c r="A19" s="103"/>
      <c r="B19" s="205"/>
      <c r="C19" s="206"/>
      <c r="D19" s="206"/>
      <c r="E19" s="207"/>
      <c r="F19" s="201"/>
      <c r="G19" s="202"/>
      <c r="H19" s="202"/>
      <c r="I19" s="203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201"/>
      <c r="AD19" s="202"/>
      <c r="AE19" s="202"/>
      <c r="AF19" s="202"/>
      <c r="AG19" s="203"/>
      <c r="AH19" s="105"/>
    </row>
    <row r="20" spans="1:34" ht="16.5" x14ac:dyDescent="0.25">
      <c r="A20" s="103"/>
      <c r="B20" s="205"/>
      <c r="C20" s="206"/>
      <c r="D20" s="206"/>
      <c r="E20" s="207"/>
      <c r="F20" s="201"/>
      <c r="G20" s="202"/>
      <c r="H20" s="202"/>
      <c r="I20" s="203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201"/>
      <c r="AD20" s="202"/>
      <c r="AE20" s="202"/>
      <c r="AF20" s="202"/>
      <c r="AG20" s="203"/>
      <c r="AH20" s="105"/>
    </row>
    <row r="21" spans="1:34" ht="16.5" x14ac:dyDescent="0.25">
      <c r="A21" s="103"/>
      <c r="B21" s="205"/>
      <c r="C21" s="206"/>
      <c r="D21" s="206"/>
      <c r="E21" s="207"/>
      <c r="F21" s="201"/>
      <c r="G21" s="202"/>
      <c r="H21" s="202"/>
      <c r="I21" s="203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201"/>
      <c r="AD21" s="202"/>
      <c r="AE21" s="202"/>
      <c r="AF21" s="202"/>
      <c r="AG21" s="203"/>
      <c r="AH21" s="105"/>
    </row>
    <row r="22" spans="1:34" ht="16.5" x14ac:dyDescent="0.25">
      <c r="A22" s="103"/>
      <c r="B22" s="205"/>
      <c r="C22" s="206"/>
      <c r="D22" s="206"/>
      <c r="E22" s="207"/>
      <c r="F22" s="201"/>
      <c r="G22" s="202"/>
      <c r="H22" s="202"/>
      <c r="I22" s="203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201"/>
      <c r="AD22" s="202"/>
      <c r="AE22" s="202"/>
      <c r="AF22" s="202"/>
      <c r="AG22" s="203"/>
      <c r="AH22" s="105"/>
    </row>
    <row r="23" spans="1:34" ht="16.5" x14ac:dyDescent="0.25">
      <c r="A23" s="103"/>
      <c r="B23" s="205"/>
      <c r="C23" s="206"/>
      <c r="D23" s="206"/>
      <c r="E23" s="207"/>
      <c r="F23" s="201"/>
      <c r="G23" s="202"/>
      <c r="H23" s="202"/>
      <c r="I23" s="203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201"/>
      <c r="AD23" s="202"/>
      <c r="AE23" s="202"/>
      <c r="AF23" s="202"/>
      <c r="AG23" s="203"/>
      <c r="AH23" s="105"/>
    </row>
    <row r="24" spans="1:34" ht="16.5" x14ac:dyDescent="0.25">
      <c r="A24" s="103"/>
      <c r="B24" s="205"/>
      <c r="C24" s="206"/>
      <c r="D24" s="206"/>
      <c r="E24" s="207"/>
      <c r="F24" s="201"/>
      <c r="G24" s="202"/>
      <c r="H24" s="202"/>
      <c r="I24" s="203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201"/>
      <c r="AD24" s="202"/>
      <c r="AE24" s="202"/>
      <c r="AF24" s="202"/>
      <c r="AG24" s="203"/>
      <c r="AH24" s="105"/>
    </row>
    <row r="25" spans="1:34" ht="16.5" x14ac:dyDescent="0.25">
      <c r="A25" s="103"/>
      <c r="B25" s="214"/>
      <c r="C25" s="215"/>
      <c r="D25" s="215"/>
      <c r="E25" s="215"/>
      <c r="F25" s="201"/>
      <c r="G25" s="202"/>
      <c r="H25" s="202"/>
      <c r="I25" s="203"/>
      <c r="J25" s="111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201"/>
      <c r="AD25" s="202"/>
      <c r="AE25" s="202"/>
      <c r="AF25" s="202"/>
      <c r="AG25" s="203"/>
      <c r="AH25" s="105"/>
    </row>
    <row r="26" spans="1:34" ht="16.5" x14ac:dyDescent="0.25">
      <c r="A26" s="103"/>
      <c r="B26" s="205"/>
      <c r="C26" s="206"/>
      <c r="D26" s="206"/>
      <c r="E26" s="206"/>
      <c r="F26" s="201"/>
      <c r="G26" s="202"/>
      <c r="H26" s="202"/>
      <c r="I26" s="203"/>
      <c r="J26" s="112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201"/>
      <c r="AD26" s="202"/>
      <c r="AE26" s="202"/>
      <c r="AF26" s="202"/>
      <c r="AG26" s="203"/>
      <c r="AH26" s="105"/>
    </row>
    <row r="27" spans="1:34" ht="16.5" x14ac:dyDescent="0.25">
      <c r="A27" s="103"/>
      <c r="B27" s="205"/>
      <c r="C27" s="206"/>
      <c r="D27" s="206"/>
      <c r="E27" s="206"/>
      <c r="F27" s="201"/>
      <c r="G27" s="202"/>
      <c r="H27" s="202"/>
      <c r="I27" s="203"/>
      <c r="J27" s="112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201"/>
      <c r="AD27" s="202"/>
      <c r="AE27" s="202"/>
      <c r="AF27" s="202"/>
      <c r="AG27" s="203"/>
      <c r="AH27" s="105"/>
    </row>
    <row r="28" spans="1:34" ht="16.5" x14ac:dyDescent="0.25">
      <c r="A28" s="103"/>
      <c r="B28" s="205"/>
      <c r="C28" s="206"/>
      <c r="D28" s="206"/>
      <c r="E28" s="206"/>
      <c r="F28" s="201"/>
      <c r="G28" s="202"/>
      <c r="H28" s="202"/>
      <c r="I28" s="203"/>
      <c r="J28" s="112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201"/>
      <c r="AD28" s="202"/>
      <c r="AE28" s="202"/>
      <c r="AF28" s="202"/>
      <c r="AG28" s="203"/>
      <c r="AH28" s="105"/>
    </row>
    <row r="29" spans="1:34" ht="16.5" x14ac:dyDescent="0.25">
      <c r="A29" s="103"/>
      <c r="B29" s="208"/>
      <c r="C29" s="209"/>
      <c r="D29" s="209"/>
      <c r="E29" s="210"/>
      <c r="F29" s="201"/>
      <c r="G29" s="202"/>
      <c r="H29" s="202"/>
      <c r="I29" s="203"/>
      <c r="J29" s="113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201"/>
      <c r="AD29" s="202"/>
      <c r="AE29" s="202"/>
      <c r="AF29" s="202"/>
      <c r="AG29" s="203"/>
      <c r="AH29" s="105"/>
    </row>
    <row r="30" spans="1:34" ht="16.5" x14ac:dyDescent="0.25">
      <c r="A30" s="103"/>
      <c r="B30" s="208"/>
      <c r="C30" s="209"/>
      <c r="D30" s="209"/>
      <c r="E30" s="210"/>
      <c r="F30" s="201"/>
      <c r="G30" s="202"/>
      <c r="H30" s="202"/>
      <c r="I30" s="203"/>
      <c r="J30" s="114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201"/>
      <c r="AD30" s="202"/>
      <c r="AE30" s="202"/>
      <c r="AF30" s="202"/>
      <c r="AG30" s="203"/>
      <c r="AH30" s="105"/>
    </row>
    <row r="31" spans="1:34" ht="16.5" x14ac:dyDescent="0.25">
      <c r="A31" s="103"/>
      <c r="B31" s="208"/>
      <c r="C31" s="209"/>
      <c r="D31" s="209"/>
      <c r="E31" s="210"/>
      <c r="F31" s="201"/>
      <c r="G31" s="202"/>
      <c r="H31" s="202"/>
      <c r="I31" s="203"/>
      <c r="J31" s="115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201"/>
      <c r="AD31" s="202"/>
      <c r="AE31" s="202"/>
      <c r="AF31" s="202"/>
      <c r="AG31" s="203"/>
      <c r="AH31" s="105"/>
    </row>
    <row r="32" spans="1:34" ht="16.5" x14ac:dyDescent="0.25">
      <c r="A32" s="103"/>
      <c r="B32" s="208"/>
      <c r="C32" s="209"/>
      <c r="D32" s="209"/>
      <c r="E32" s="210"/>
      <c r="F32" s="201"/>
      <c r="G32" s="202"/>
      <c r="H32" s="202"/>
      <c r="I32" s="203"/>
      <c r="J32" s="113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201"/>
      <c r="AD32" s="202"/>
      <c r="AE32" s="202"/>
      <c r="AF32" s="202"/>
      <c r="AG32" s="203"/>
      <c r="AH32" s="105"/>
    </row>
    <row r="33" spans="1:34" ht="16.5" x14ac:dyDescent="0.25">
      <c r="A33" s="103"/>
      <c r="B33" s="208"/>
      <c r="C33" s="209"/>
      <c r="D33" s="209"/>
      <c r="E33" s="210"/>
      <c r="F33" s="201"/>
      <c r="G33" s="202"/>
      <c r="H33" s="202"/>
      <c r="I33" s="203"/>
      <c r="J33" s="113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201"/>
      <c r="AD33" s="202"/>
      <c r="AE33" s="202"/>
      <c r="AF33" s="202"/>
      <c r="AG33" s="203"/>
      <c r="AH33" s="105"/>
    </row>
    <row r="34" spans="1:34" ht="16.5" x14ac:dyDescent="0.25">
      <c r="A34" s="103"/>
      <c r="B34" s="208"/>
      <c r="C34" s="209"/>
      <c r="D34" s="209"/>
      <c r="E34" s="210"/>
      <c r="F34" s="201"/>
      <c r="G34" s="202"/>
      <c r="H34" s="202"/>
      <c r="I34" s="203"/>
      <c r="J34" s="114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201"/>
      <c r="AD34" s="202"/>
      <c r="AE34" s="202"/>
      <c r="AF34" s="202"/>
      <c r="AG34" s="203"/>
      <c r="AH34" s="105"/>
    </row>
    <row r="35" spans="1:34" ht="16.5" x14ac:dyDescent="0.25">
      <c r="A35" s="103"/>
      <c r="B35" s="208"/>
      <c r="C35" s="209"/>
      <c r="D35" s="209"/>
      <c r="E35" s="210"/>
      <c r="F35" s="201"/>
      <c r="G35" s="202"/>
      <c r="H35" s="202"/>
      <c r="I35" s="203"/>
      <c r="J35" s="115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201"/>
      <c r="AD35" s="202"/>
      <c r="AE35" s="202"/>
      <c r="AF35" s="202"/>
      <c r="AG35" s="203"/>
      <c r="AH35" s="105"/>
    </row>
    <row r="36" spans="1:34" ht="16.5" x14ac:dyDescent="0.25">
      <c r="A36" s="103"/>
      <c r="B36" s="208"/>
      <c r="C36" s="209"/>
      <c r="D36" s="209"/>
      <c r="E36" s="210"/>
      <c r="F36" s="201"/>
      <c r="G36" s="202"/>
      <c r="H36" s="202"/>
      <c r="I36" s="203"/>
      <c r="J36" s="113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201"/>
      <c r="AD36" s="202"/>
      <c r="AE36" s="202"/>
      <c r="AF36" s="202"/>
      <c r="AG36" s="203"/>
      <c r="AH36" s="105"/>
    </row>
    <row r="37" spans="1:34" ht="16.5" x14ac:dyDescent="0.25">
      <c r="A37" s="103"/>
      <c r="B37" s="208"/>
      <c r="C37" s="209"/>
      <c r="D37" s="209"/>
      <c r="E37" s="210"/>
      <c r="F37" s="201"/>
      <c r="G37" s="202"/>
      <c r="H37" s="202"/>
      <c r="I37" s="203"/>
      <c r="J37" s="113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201"/>
      <c r="AD37" s="202"/>
      <c r="AE37" s="202"/>
      <c r="AF37" s="202"/>
      <c r="AG37" s="203"/>
      <c r="AH37" s="105"/>
    </row>
    <row r="38" spans="1:34" ht="16.5" x14ac:dyDescent="0.25">
      <c r="A38" s="103"/>
      <c r="B38" s="208"/>
      <c r="C38" s="209"/>
      <c r="D38" s="209"/>
      <c r="E38" s="210"/>
      <c r="F38" s="201"/>
      <c r="G38" s="202"/>
      <c r="H38" s="202"/>
      <c r="I38" s="203"/>
      <c r="J38" s="114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201"/>
      <c r="AD38" s="202"/>
      <c r="AE38" s="202"/>
      <c r="AF38" s="202"/>
      <c r="AG38" s="203"/>
      <c r="AH38" s="105"/>
    </row>
    <row r="39" spans="1:34" ht="16.5" x14ac:dyDescent="0.25">
      <c r="A39" s="103"/>
      <c r="B39" s="208"/>
      <c r="C39" s="209"/>
      <c r="D39" s="209"/>
      <c r="E39" s="210"/>
      <c r="F39" s="201"/>
      <c r="G39" s="202"/>
      <c r="H39" s="202"/>
      <c r="I39" s="203"/>
      <c r="J39" s="113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201"/>
      <c r="AD39" s="202"/>
      <c r="AE39" s="202"/>
      <c r="AF39" s="202"/>
      <c r="AG39" s="203"/>
      <c r="AH39" s="105"/>
    </row>
    <row r="40" spans="1:34" ht="16.5" x14ac:dyDescent="0.25">
      <c r="A40" s="103"/>
      <c r="B40" s="208"/>
      <c r="C40" s="209"/>
      <c r="D40" s="209"/>
      <c r="E40" s="210"/>
      <c r="F40" s="201"/>
      <c r="G40" s="202"/>
      <c r="H40" s="202"/>
      <c r="I40" s="203"/>
      <c r="J40" s="113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201"/>
      <c r="AD40" s="202"/>
      <c r="AE40" s="202"/>
      <c r="AF40" s="202"/>
      <c r="AG40" s="203"/>
      <c r="AH40" s="105"/>
    </row>
    <row r="41" spans="1:34" ht="16.5" x14ac:dyDescent="0.25">
      <c r="A41" s="103"/>
      <c r="B41" s="208"/>
      <c r="C41" s="209"/>
      <c r="D41" s="209"/>
      <c r="E41" s="210"/>
      <c r="F41" s="201"/>
      <c r="G41" s="202"/>
      <c r="H41" s="202"/>
      <c r="I41" s="203"/>
      <c r="J41" s="114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201"/>
      <c r="AD41" s="202"/>
      <c r="AE41" s="202"/>
      <c r="AF41" s="202"/>
      <c r="AG41" s="203"/>
      <c r="AH41" s="105"/>
    </row>
    <row r="42" spans="1:34" ht="16.5" x14ac:dyDescent="0.25">
      <c r="A42" s="103"/>
      <c r="B42" s="208"/>
      <c r="C42" s="209"/>
      <c r="D42" s="209"/>
      <c r="E42" s="210"/>
      <c r="F42" s="201"/>
      <c r="G42" s="202"/>
      <c r="H42" s="202"/>
      <c r="I42" s="203"/>
      <c r="J42" s="115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201"/>
      <c r="AD42" s="202"/>
      <c r="AE42" s="202"/>
      <c r="AF42" s="202"/>
      <c r="AG42" s="203"/>
      <c r="AH42" s="105"/>
    </row>
    <row r="43" spans="1:34" ht="16.5" x14ac:dyDescent="0.25">
      <c r="A43" s="103"/>
      <c r="B43" s="208"/>
      <c r="C43" s="209"/>
      <c r="D43" s="209"/>
      <c r="E43" s="210"/>
      <c r="F43" s="201"/>
      <c r="G43" s="202"/>
      <c r="H43" s="202"/>
      <c r="I43" s="203"/>
      <c r="J43" s="115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201"/>
      <c r="AD43" s="202"/>
      <c r="AE43" s="202"/>
      <c r="AF43" s="202"/>
      <c r="AG43" s="203"/>
      <c r="AH43" s="105"/>
    </row>
    <row r="44" spans="1:34" ht="16.5" x14ac:dyDescent="0.25">
      <c r="A44" s="103"/>
      <c r="B44" s="208"/>
      <c r="C44" s="209"/>
      <c r="D44" s="209"/>
      <c r="E44" s="210"/>
      <c r="F44" s="201"/>
      <c r="G44" s="202"/>
      <c r="H44" s="202"/>
      <c r="I44" s="203"/>
      <c r="J44" s="115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201"/>
      <c r="AD44" s="202"/>
      <c r="AE44" s="202"/>
      <c r="AF44" s="202"/>
      <c r="AG44" s="203"/>
      <c r="AH44" s="105"/>
    </row>
    <row r="45" spans="1:34" ht="16.5" x14ac:dyDescent="0.25">
      <c r="A45" s="103"/>
      <c r="B45" s="208"/>
      <c r="C45" s="209"/>
      <c r="D45" s="209"/>
      <c r="E45" s="210"/>
      <c r="F45" s="201"/>
      <c r="G45" s="202"/>
      <c r="H45" s="202"/>
      <c r="I45" s="203"/>
      <c r="J45" s="115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201"/>
      <c r="AD45" s="202"/>
      <c r="AE45" s="202"/>
      <c r="AF45" s="202"/>
      <c r="AG45" s="203"/>
      <c r="AH45" s="105"/>
    </row>
    <row r="46" spans="1:34" ht="16.5" x14ac:dyDescent="0.25">
      <c r="A46" s="103"/>
      <c r="B46" s="208"/>
      <c r="C46" s="209"/>
      <c r="D46" s="209"/>
      <c r="E46" s="210"/>
      <c r="F46" s="201"/>
      <c r="G46" s="202"/>
      <c r="H46" s="202"/>
      <c r="I46" s="203"/>
      <c r="J46" s="114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201"/>
      <c r="AD46" s="202"/>
      <c r="AE46" s="202"/>
      <c r="AF46" s="202"/>
      <c r="AG46" s="203"/>
      <c r="AH46" s="105"/>
    </row>
    <row r="47" spans="1:34" ht="16.5" x14ac:dyDescent="0.25">
      <c r="A47" s="103"/>
      <c r="B47" s="208"/>
      <c r="C47" s="209"/>
      <c r="D47" s="209"/>
      <c r="E47" s="210"/>
      <c r="F47" s="201"/>
      <c r="G47" s="202"/>
      <c r="H47" s="202"/>
      <c r="I47" s="203"/>
      <c r="J47" s="114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201"/>
      <c r="AD47" s="202"/>
      <c r="AE47" s="202"/>
      <c r="AF47" s="202"/>
      <c r="AG47" s="203"/>
      <c r="AH47" s="105"/>
    </row>
    <row r="48" spans="1:34" ht="16.5" x14ac:dyDescent="0.25">
      <c r="A48" s="103"/>
      <c r="B48" s="208"/>
      <c r="C48" s="209"/>
      <c r="D48" s="209"/>
      <c r="E48" s="210"/>
      <c r="F48" s="201"/>
      <c r="G48" s="202"/>
      <c r="H48" s="202"/>
      <c r="I48" s="203"/>
      <c r="J48" s="114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201"/>
      <c r="AD48" s="202"/>
      <c r="AE48" s="202"/>
      <c r="AF48" s="202"/>
      <c r="AG48" s="203"/>
      <c r="AH48" s="105"/>
    </row>
    <row r="49" spans="1:34" ht="16.5" x14ac:dyDescent="0.25">
      <c r="A49" s="103"/>
      <c r="B49" s="208"/>
      <c r="C49" s="209"/>
      <c r="D49" s="209"/>
      <c r="E49" s="210"/>
      <c r="F49" s="201"/>
      <c r="G49" s="202"/>
      <c r="H49" s="202"/>
      <c r="I49" s="203"/>
      <c r="J49" s="114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201"/>
      <c r="AD49" s="202"/>
      <c r="AE49" s="202"/>
      <c r="AF49" s="202"/>
      <c r="AG49" s="203"/>
      <c r="AH49" s="105"/>
    </row>
    <row r="50" spans="1:34" ht="16.5" x14ac:dyDescent="0.25">
      <c r="A50" s="103"/>
      <c r="B50" s="208"/>
      <c r="C50" s="209"/>
      <c r="D50" s="209"/>
      <c r="E50" s="210"/>
      <c r="F50" s="201"/>
      <c r="G50" s="202"/>
      <c r="H50" s="202"/>
      <c r="I50" s="203"/>
      <c r="J50" s="104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201"/>
      <c r="AD50" s="202"/>
      <c r="AE50" s="202"/>
      <c r="AF50" s="202"/>
      <c r="AG50" s="203"/>
      <c r="AH50" s="105"/>
    </row>
    <row r="51" spans="1:34" ht="16.5" x14ac:dyDescent="0.25">
      <c r="A51" s="103"/>
      <c r="B51" s="208"/>
      <c r="C51" s="209"/>
      <c r="D51" s="209"/>
      <c r="E51" s="210"/>
      <c r="F51" s="201"/>
      <c r="G51" s="211"/>
      <c r="H51" s="211"/>
      <c r="I51" s="212"/>
      <c r="J51" s="116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213"/>
      <c r="AD51" s="211"/>
      <c r="AE51" s="211"/>
      <c r="AF51" s="211"/>
      <c r="AG51" s="212"/>
      <c r="AH51" s="105"/>
    </row>
    <row r="52" spans="1:34" ht="16.5" x14ac:dyDescent="0.25">
      <c r="A52" s="103"/>
      <c r="B52" s="127"/>
      <c r="C52" s="81"/>
      <c r="D52" s="81"/>
      <c r="E52" s="128"/>
      <c r="F52" s="129"/>
      <c r="G52" s="118"/>
      <c r="H52" s="118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118"/>
      <c r="AC52" s="118"/>
      <c r="AD52" s="70"/>
      <c r="AE52" s="70"/>
      <c r="AF52" s="70"/>
      <c r="AG52" s="118"/>
      <c r="AH52" s="105"/>
    </row>
    <row r="53" spans="1:34" x14ac:dyDescent="0.25">
      <c r="A53" s="72"/>
      <c r="B53" s="119"/>
      <c r="C53" s="119"/>
      <c r="D53" s="119"/>
      <c r="E53" s="119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76"/>
    </row>
    <row r="54" spans="1:34" x14ac:dyDescent="0.25">
      <c r="A54" s="72"/>
      <c r="B54" s="77" t="s">
        <v>360</v>
      </c>
      <c r="C54" s="70"/>
      <c r="D54" s="70"/>
      <c r="E54" s="77" t="s">
        <v>361</v>
      </c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120"/>
      <c r="AD54" s="70"/>
      <c r="AE54" s="70"/>
      <c r="AF54" s="70"/>
      <c r="AG54" s="120"/>
      <c r="AH54" s="76"/>
    </row>
    <row r="55" spans="1:34" x14ac:dyDescent="0.25">
      <c r="A55" s="72"/>
      <c r="B55" s="77"/>
      <c r="C55" s="70"/>
      <c r="D55" s="70"/>
      <c r="E55" s="77" t="s">
        <v>362</v>
      </c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120"/>
      <c r="AD55" s="70"/>
      <c r="AE55" s="70"/>
      <c r="AF55" s="70"/>
      <c r="AG55" s="120"/>
      <c r="AH55" s="76"/>
    </row>
    <row r="56" spans="1:34" ht="15.75" thickBot="1" x14ac:dyDescent="0.3">
      <c r="A56" s="121"/>
      <c r="B56" s="122"/>
      <c r="C56" s="123"/>
      <c r="D56" s="123"/>
      <c r="E56" s="122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4"/>
    </row>
    <row r="58" spans="1:34" x14ac:dyDescent="0.25"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</row>
    <row r="59" spans="1:34" x14ac:dyDescent="0.25">
      <c r="A59" s="204"/>
      <c r="B59" s="204"/>
      <c r="C59" s="204"/>
      <c r="D59" s="204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</row>
    <row r="60" spans="1:34" x14ac:dyDescent="0.25">
      <c r="A60" s="204"/>
      <c r="B60" s="204"/>
      <c r="C60" s="204"/>
      <c r="D60" s="204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</row>
  </sheetData>
  <sheetProtection formatCells="0" insertColumns="0" insertRows="0" selectLockedCells="1" selectUnlockedCells="1"/>
  <mergeCells count="124">
    <mergeCell ref="B14:E14"/>
    <mergeCell ref="F14:I14"/>
    <mergeCell ref="AC14:AG14"/>
    <mergeCell ref="B15:E15"/>
    <mergeCell ref="F15:I15"/>
    <mergeCell ref="AC15:AG15"/>
    <mergeCell ref="B2:AG2"/>
    <mergeCell ref="B4:AG4"/>
    <mergeCell ref="B12:E12"/>
    <mergeCell ref="F12:I12"/>
    <mergeCell ref="J12:AB13"/>
    <mergeCell ref="AC12:AG12"/>
    <mergeCell ref="B13:E13"/>
    <mergeCell ref="F13:I13"/>
    <mergeCell ref="AC13:AG13"/>
    <mergeCell ref="B25:E25"/>
    <mergeCell ref="F25:I25"/>
    <mergeCell ref="AC25:AG25"/>
    <mergeCell ref="B26:E26"/>
    <mergeCell ref="F26:I26"/>
    <mergeCell ref="AC26:AG26"/>
    <mergeCell ref="B16:E16"/>
    <mergeCell ref="F16:I16"/>
    <mergeCell ref="AC16:AG16"/>
    <mergeCell ref="B17:E17"/>
    <mergeCell ref="F17:I17"/>
    <mergeCell ref="AC17:AG17"/>
    <mergeCell ref="B22:E22"/>
    <mergeCell ref="F22:I22"/>
    <mergeCell ref="B23:E23"/>
    <mergeCell ref="F23:I23"/>
    <mergeCell ref="B24:E24"/>
    <mergeCell ref="F24:I24"/>
    <mergeCell ref="AC24:AG24"/>
    <mergeCell ref="B29:E29"/>
    <mergeCell ref="F29:I29"/>
    <mergeCell ref="AC29:AG29"/>
    <mergeCell ref="B30:E30"/>
    <mergeCell ref="F30:I30"/>
    <mergeCell ref="AC30:AG30"/>
    <mergeCell ref="B27:E27"/>
    <mergeCell ref="F27:I27"/>
    <mergeCell ref="AC27:AG27"/>
    <mergeCell ref="B28:E28"/>
    <mergeCell ref="F28:I28"/>
    <mergeCell ref="AC28:AG28"/>
    <mergeCell ref="B33:E33"/>
    <mergeCell ref="F33:I33"/>
    <mergeCell ref="AC33:AG33"/>
    <mergeCell ref="B34:E34"/>
    <mergeCell ref="F34:I34"/>
    <mergeCell ref="AC34:AG34"/>
    <mergeCell ref="B31:E31"/>
    <mergeCell ref="F31:I31"/>
    <mergeCell ref="AC31:AG31"/>
    <mergeCell ref="B32:E32"/>
    <mergeCell ref="F32:I32"/>
    <mergeCell ref="AC32:AG32"/>
    <mergeCell ref="F40:I40"/>
    <mergeCell ref="AC40:AG40"/>
    <mergeCell ref="B37:E37"/>
    <mergeCell ref="F37:I37"/>
    <mergeCell ref="AC37:AG37"/>
    <mergeCell ref="B38:E38"/>
    <mergeCell ref="F38:I38"/>
    <mergeCell ref="AC38:AG38"/>
    <mergeCell ref="B35:E35"/>
    <mergeCell ref="F35:I35"/>
    <mergeCell ref="AC35:AG35"/>
    <mergeCell ref="B36:E36"/>
    <mergeCell ref="F36:I36"/>
    <mergeCell ref="AC36:AG36"/>
    <mergeCell ref="AC51:AG51"/>
    <mergeCell ref="AC48:AG48"/>
    <mergeCell ref="B49:E49"/>
    <mergeCell ref="F49:I49"/>
    <mergeCell ref="AC49:AG49"/>
    <mergeCell ref="B50:E50"/>
    <mergeCell ref="F50:I50"/>
    <mergeCell ref="AC50:AG50"/>
    <mergeCell ref="B46:E46"/>
    <mergeCell ref="F46:I46"/>
    <mergeCell ref="B47:E47"/>
    <mergeCell ref="F47:I47"/>
    <mergeCell ref="B48:E48"/>
    <mergeCell ref="F48:I48"/>
    <mergeCell ref="A59:D60"/>
    <mergeCell ref="B18:E18"/>
    <mergeCell ref="F18:I18"/>
    <mergeCell ref="B19:E19"/>
    <mergeCell ref="F19:I19"/>
    <mergeCell ref="B20:E20"/>
    <mergeCell ref="F20:I20"/>
    <mergeCell ref="B21:E21"/>
    <mergeCell ref="F21:I21"/>
    <mergeCell ref="B51:E51"/>
    <mergeCell ref="F51:I51"/>
    <mergeCell ref="B43:E43"/>
    <mergeCell ref="F43:I43"/>
    <mergeCell ref="B44:E44"/>
    <mergeCell ref="F44:I44"/>
    <mergeCell ref="B45:E45"/>
    <mergeCell ref="F45:I45"/>
    <mergeCell ref="B41:E41"/>
    <mergeCell ref="F41:I41"/>
    <mergeCell ref="B42:E42"/>
    <mergeCell ref="F42:I42"/>
    <mergeCell ref="B39:E39"/>
    <mergeCell ref="F39:I39"/>
    <mergeCell ref="B40:E40"/>
    <mergeCell ref="AC43:AG43"/>
    <mergeCell ref="AC44:AG44"/>
    <mergeCell ref="AC45:AG45"/>
    <mergeCell ref="AC46:AG46"/>
    <mergeCell ref="AC47:AG47"/>
    <mergeCell ref="AC18:AG18"/>
    <mergeCell ref="AC19:AG19"/>
    <mergeCell ref="AC20:AG20"/>
    <mergeCell ref="AC21:AG21"/>
    <mergeCell ref="AC22:AG22"/>
    <mergeCell ref="AC23:AG23"/>
    <mergeCell ref="AC41:AG41"/>
    <mergeCell ref="AC42:AG42"/>
    <mergeCell ref="AC39:AG39"/>
  </mergeCells>
  <conditionalFormatting sqref="F60:AG60">
    <cfRule type="top10" dxfId="5" priority="2" rank="1"/>
  </conditionalFormatting>
  <printOptions horizontalCentered="1" verticalCentered="1"/>
  <pageMargins left="0.90551181102362199" right="0.90551181102362199" top="0.74803149606299202" bottom="0.74803149606299202" header="0.31496062992126" footer="0.31496062992126"/>
  <pageSetup paperSize="9" scale="83" orientation="portrait" r:id="rId1"/>
  <headerFooter>
    <oddHeader>&amp;LEF5  Rev2&amp;RConfidential</oddHeader>
  </headerFooter>
  <rowBreaks count="1" manualBreakCount="1">
    <brk id="56" max="45" man="1"/>
  </rowBreaks>
  <colBreaks count="1" manualBreakCount="1">
    <brk id="34" max="6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88F3-BA3A-4B91-AA20-6F67E07C9531}">
  <sheetPr>
    <pageSetUpPr fitToPage="1"/>
  </sheetPr>
  <dimension ref="A1:K88"/>
  <sheetViews>
    <sheetView showGridLines="0" view="pageBreakPreview" zoomScale="130" zoomScaleNormal="100" zoomScaleSheetLayoutView="130" workbookViewId="0">
      <selection activeCell="G14" sqref="G14"/>
    </sheetView>
  </sheetViews>
  <sheetFormatPr defaultRowHeight="15" x14ac:dyDescent="0.25"/>
  <cols>
    <col min="6" max="6" width="11.28515625" customWidth="1"/>
    <col min="8" max="8" width="9.42578125" customWidth="1"/>
    <col min="11" max="11" width="14.5703125" customWidth="1"/>
  </cols>
  <sheetData>
    <row r="1" spans="1:11" ht="20.25" x14ac:dyDescent="0.3">
      <c r="A1" s="130" t="s">
        <v>383</v>
      </c>
    </row>
    <row r="3" spans="1:11" ht="36.75" customHeight="1" x14ac:dyDescent="0.25">
      <c r="A3" s="242" t="s">
        <v>368</v>
      </c>
      <c r="B3" s="242"/>
      <c r="C3" s="242" t="s">
        <v>369</v>
      </c>
      <c r="D3" s="242"/>
      <c r="E3" s="242"/>
      <c r="F3" s="143" t="s">
        <v>379</v>
      </c>
      <c r="G3" s="243" t="s">
        <v>370</v>
      </c>
      <c r="H3" s="244"/>
      <c r="I3" s="240" t="s">
        <v>371</v>
      </c>
      <c r="J3" s="240"/>
      <c r="K3" s="144" t="s">
        <v>382</v>
      </c>
    </row>
    <row r="4" spans="1:11" x14ac:dyDescent="0.25">
      <c r="A4" s="241" t="s">
        <v>374</v>
      </c>
      <c r="B4" s="241"/>
      <c r="C4" s="241" t="s">
        <v>375</v>
      </c>
      <c r="D4" s="241"/>
      <c r="E4" s="241"/>
      <c r="F4" s="63">
        <v>1</v>
      </c>
      <c r="G4" s="236"/>
      <c r="H4" s="237"/>
      <c r="I4" s="238"/>
      <c r="J4" s="239"/>
      <c r="K4" s="145"/>
    </row>
    <row r="5" spans="1:11" x14ac:dyDescent="0.25">
      <c r="A5" s="235"/>
      <c r="B5" s="235"/>
      <c r="C5" s="235" t="s">
        <v>380</v>
      </c>
      <c r="D5" s="235"/>
      <c r="E5" s="235"/>
      <c r="F5" s="63">
        <v>1</v>
      </c>
      <c r="G5" s="236"/>
      <c r="H5" s="237"/>
      <c r="I5" s="238"/>
      <c r="J5" s="239"/>
      <c r="K5" s="140"/>
    </row>
    <row r="6" spans="1:11" x14ac:dyDescent="0.25">
      <c r="A6" s="141"/>
      <c r="B6" s="142"/>
      <c r="C6" s="235" t="s">
        <v>380</v>
      </c>
      <c r="D6" s="235"/>
      <c r="E6" s="235"/>
      <c r="F6" s="63">
        <v>1</v>
      </c>
      <c r="G6" s="236"/>
      <c r="H6" s="237"/>
      <c r="I6" s="238"/>
      <c r="J6" s="239"/>
      <c r="K6" s="140"/>
    </row>
    <row r="7" spans="1:11" x14ac:dyDescent="0.25">
      <c r="A7" s="235"/>
      <c r="B7" s="235"/>
      <c r="C7" s="235" t="s">
        <v>381</v>
      </c>
      <c r="D7" s="235"/>
      <c r="E7" s="235"/>
      <c r="F7" s="63">
        <v>1</v>
      </c>
      <c r="G7" s="236"/>
      <c r="H7" s="237"/>
      <c r="I7" s="238"/>
      <c r="J7" s="239"/>
      <c r="K7" s="140"/>
    </row>
    <row r="8" spans="1:11" x14ac:dyDescent="0.25">
      <c r="A8" s="235"/>
      <c r="B8" s="235"/>
      <c r="C8" s="235" t="s">
        <v>381</v>
      </c>
      <c r="D8" s="235"/>
      <c r="E8" s="235"/>
      <c r="F8" s="63">
        <v>1</v>
      </c>
      <c r="G8" s="236"/>
      <c r="H8" s="237"/>
      <c r="I8" s="238"/>
      <c r="J8" s="239"/>
      <c r="K8" s="140"/>
    </row>
    <row r="9" spans="1:11" x14ac:dyDescent="0.25">
      <c r="A9" s="235"/>
      <c r="B9" s="235"/>
      <c r="C9" s="235"/>
      <c r="D9" s="235"/>
      <c r="E9" s="235"/>
      <c r="F9" s="55"/>
      <c r="G9" s="10"/>
      <c r="H9" s="10"/>
      <c r="I9" s="140"/>
      <c r="J9" s="140"/>
      <c r="K9" s="140"/>
    </row>
    <row r="10" spans="1:11" x14ac:dyDescent="0.25">
      <c r="A10" s="235"/>
      <c r="B10" s="235"/>
      <c r="C10" s="235"/>
      <c r="D10" s="235"/>
      <c r="E10" s="235"/>
      <c r="F10" s="55"/>
      <c r="G10" s="10"/>
      <c r="H10" s="10"/>
      <c r="I10" s="140"/>
      <c r="J10" s="140"/>
      <c r="K10" s="140"/>
    </row>
    <row r="11" spans="1:11" x14ac:dyDescent="0.25">
      <c r="A11" s="235"/>
      <c r="B11" s="235"/>
      <c r="C11" s="235"/>
      <c r="D11" s="235"/>
      <c r="E11" s="235"/>
      <c r="F11" s="55"/>
      <c r="G11" s="10"/>
      <c r="H11" s="10"/>
      <c r="I11" s="140"/>
      <c r="J11" s="140"/>
      <c r="K11" s="140"/>
    </row>
    <row r="12" spans="1:11" x14ac:dyDescent="0.25">
      <c r="A12" s="235"/>
      <c r="B12" s="235"/>
      <c r="C12" s="235"/>
      <c r="D12" s="235"/>
      <c r="E12" s="235"/>
      <c r="F12" s="55"/>
      <c r="G12" s="10"/>
      <c r="H12" s="10"/>
      <c r="I12" s="140"/>
      <c r="J12" s="140"/>
      <c r="K12" s="140"/>
    </row>
    <row r="13" spans="1:11" x14ac:dyDescent="0.25">
      <c r="A13" s="235"/>
      <c r="B13" s="235"/>
      <c r="C13" s="235"/>
      <c r="D13" s="235"/>
      <c r="E13" s="235"/>
      <c r="F13" s="55"/>
      <c r="G13" s="10"/>
      <c r="H13" s="10"/>
      <c r="I13" s="140"/>
      <c r="J13" s="140"/>
      <c r="K13" s="140"/>
    </row>
    <row r="14" spans="1:11" x14ac:dyDescent="0.25">
      <c r="A14" s="235"/>
      <c r="B14" s="235"/>
      <c r="C14" s="235"/>
      <c r="D14" s="235"/>
      <c r="E14" s="235"/>
      <c r="F14" s="55"/>
      <c r="G14" s="10"/>
      <c r="H14" s="10"/>
      <c r="I14" s="140"/>
      <c r="J14" s="140"/>
      <c r="K14" s="140"/>
    </row>
    <row r="15" spans="1:11" x14ac:dyDescent="0.25">
      <c r="A15" s="235"/>
      <c r="B15" s="235"/>
      <c r="C15" s="235"/>
      <c r="D15" s="235"/>
      <c r="E15" s="235"/>
      <c r="F15" s="55"/>
      <c r="G15" s="10"/>
      <c r="H15" s="10"/>
      <c r="I15" s="140"/>
      <c r="J15" s="140"/>
      <c r="K15" s="140"/>
    </row>
    <row r="16" spans="1:11" x14ac:dyDescent="0.25">
      <c r="A16" s="235"/>
      <c r="B16" s="235"/>
      <c r="C16" s="235"/>
      <c r="D16" s="235"/>
      <c r="E16" s="235"/>
      <c r="F16" s="55"/>
      <c r="G16" s="10"/>
      <c r="H16" s="10"/>
      <c r="I16" s="140"/>
      <c r="J16" s="140"/>
      <c r="K16" s="140"/>
    </row>
    <row r="17" spans="1:11" x14ac:dyDescent="0.25">
      <c r="A17" s="235"/>
      <c r="B17" s="235"/>
      <c r="C17" s="235"/>
      <c r="D17" s="235"/>
      <c r="E17" s="235"/>
      <c r="F17" s="55"/>
      <c r="G17" s="10"/>
      <c r="H17" s="10"/>
      <c r="I17" s="140"/>
      <c r="J17" s="140"/>
      <c r="K17" s="140"/>
    </row>
    <row r="18" spans="1:11" x14ac:dyDescent="0.25">
      <c r="A18" s="235"/>
      <c r="B18" s="235"/>
      <c r="C18" s="235"/>
      <c r="D18" s="235"/>
      <c r="E18" s="235"/>
      <c r="F18" s="55"/>
      <c r="G18" s="10"/>
      <c r="H18" s="10"/>
      <c r="I18" s="140"/>
      <c r="J18" s="140"/>
      <c r="K18" s="140"/>
    </row>
    <row r="19" spans="1:11" x14ac:dyDescent="0.25">
      <c r="A19" s="235"/>
      <c r="B19" s="235"/>
      <c r="C19" s="235"/>
      <c r="D19" s="235"/>
      <c r="E19" s="235"/>
      <c r="F19" s="55"/>
      <c r="G19" s="10"/>
      <c r="H19" s="10"/>
      <c r="I19" s="140"/>
      <c r="J19" s="140"/>
      <c r="K19" s="140"/>
    </row>
    <row r="20" spans="1:11" x14ac:dyDescent="0.25">
      <c r="A20" s="235"/>
      <c r="B20" s="235"/>
      <c r="C20" s="235"/>
      <c r="D20" s="235"/>
      <c r="E20" s="235"/>
      <c r="F20" s="55"/>
      <c r="G20" s="10"/>
      <c r="H20" s="10"/>
      <c r="I20" s="140"/>
      <c r="J20" s="140"/>
      <c r="K20" s="140"/>
    </row>
    <row r="21" spans="1:11" x14ac:dyDescent="0.25">
      <c r="A21" s="235"/>
      <c r="B21" s="235"/>
      <c r="C21" s="235"/>
      <c r="D21" s="235"/>
      <c r="E21" s="235"/>
      <c r="F21" s="55"/>
      <c r="G21" s="10"/>
      <c r="H21" s="10"/>
      <c r="I21" s="140"/>
      <c r="J21" s="140"/>
      <c r="K21" s="140"/>
    </row>
    <row r="22" spans="1:11" x14ac:dyDescent="0.25">
      <c r="A22" s="235"/>
      <c r="B22" s="235"/>
      <c r="C22" s="235"/>
      <c r="D22" s="235"/>
      <c r="E22" s="235"/>
      <c r="F22" s="55"/>
      <c r="G22" s="10"/>
      <c r="H22" s="10"/>
      <c r="I22" s="140"/>
      <c r="J22" s="140"/>
      <c r="K22" s="140"/>
    </row>
    <row r="23" spans="1:11" x14ac:dyDescent="0.25">
      <c r="A23" s="235"/>
      <c r="B23" s="235"/>
      <c r="C23" s="235"/>
      <c r="D23" s="235"/>
      <c r="E23" s="235"/>
      <c r="F23" s="55"/>
      <c r="G23" s="10"/>
      <c r="H23" s="10"/>
      <c r="I23" s="140"/>
      <c r="J23" s="140"/>
      <c r="K23" s="140"/>
    </row>
    <row r="24" spans="1:11" x14ac:dyDescent="0.25">
      <c r="A24" s="235"/>
      <c r="B24" s="235"/>
      <c r="C24" s="235"/>
      <c r="D24" s="235"/>
      <c r="E24" s="235"/>
      <c r="F24" s="55"/>
      <c r="G24" s="10"/>
      <c r="H24" s="10"/>
      <c r="I24" s="140"/>
      <c r="J24" s="140"/>
      <c r="K24" s="140"/>
    </row>
    <row r="25" spans="1:11" x14ac:dyDescent="0.25">
      <c r="A25" s="235"/>
      <c r="B25" s="235"/>
      <c r="C25" s="235"/>
      <c r="D25" s="235"/>
      <c r="E25" s="235"/>
      <c r="F25" s="55"/>
      <c r="G25" s="10"/>
      <c r="H25" s="10"/>
      <c r="I25" s="140"/>
      <c r="J25" s="140"/>
      <c r="K25" s="140"/>
    </row>
    <row r="26" spans="1:11" x14ac:dyDescent="0.25">
      <c r="A26" s="235"/>
      <c r="B26" s="235"/>
      <c r="C26" s="235"/>
      <c r="D26" s="235"/>
      <c r="E26" s="235"/>
      <c r="F26" s="55"/>
      <c r="G26" s="10"/>
      <c r="H26" s="10"/>
      <c r="I26" s="140"/>
      <c r="J26" s="140"/>
      <c r="K26" s="140"/>
    </row>
    <row r="27" spans="1:11" x14ac:dyDescent="0.25">
      <c r="A27" s="235"/>
      <c r="B27" s="235"/>
      <c r="C27" s="235"/>
      <c r="D27" s="235"/>
      <c r="E27" s="235"/>
      <c r="F27" s="55"/>
      <c r="G27" s="10"/>
      <c r="H27" s="10"/>
      <c r="I27" s="140"/>
      <c r="J27" s="140"/>
      <c r="K27" s="140"/>
    </row>
    <row r="28" spans="1:11" x14ac:dyDescent="0.25">
      <c r="A28" s="235"/>
      <c r="B28" s="235"/>
      <c r="C28" s="235"/>
      <c r="D28" s="235"/>
      <c r="E28" s="235"/>
      <c r="F28" s="55"/>
      <c r="G28" s="10"/>
      <c r="H28" s="10"/>
      <c r="I28" s="140"/>
      <c r="J28" s="140"/>
      <c r="K28" s="140"/>
    </row>
    <row r="29" spans="1:11" x14ac:dyDescent="0.25">
      <c r="A29" s="235"/>
      <c r="B29" s="235"/>
      <c r="C29" s="235"/>
      <c r="D29" s="235"/>
      <c r="E29" s="235"/>
      <c r="F29" s="55"/>
      <c r="G29" s="10"/>
      <c r="H29" s="10"/>
      <c r="I29" s="140"/>
      <c r="J29" s="140"/>
      <c r="K29" s="140"/>
    </row>
    <row r="30" spans="1:11" x14ac:dyDescent="0.25">
      <c r="A30" s="235"/>
      <c r="B30" s="235"/>
      <c r="C30" s="235"/>
      <c r="D30" s="235"/>
      <c r="E30" s="235"/>
      <c r="F30" s="55"/>
      <c r="G30" s="10"/>
      <c r="H30" s="10"/>
      <c r="I30" s="140"/>
      <c r="J30" s="140"/>
      <c r="K30" s="140"/>
    </row>
    <row r="31" spans="1:11" x14ac:dyDescent="0.25">
      <c r="A31" s="235"/>
      <c r="B31" s="235"/>
      <c r="C31" s="235"/>
      <c r="D31" s="235"/>
      <c r="E31" s="235"/>
      <c r="F31" s="55"/>
      <c r="G31" s="10"/>
      <c r="H31" s="10"/>
      <c r="I31" s="140"/>
      <c r="J31" s="140"/>
      <c r="K31" s="140"/>
    </row>
    <row r="32" spans="1:11" x14ac:dyDescent="0.25">
      <c r="A32" s="235"/>
      <c r="B32" s="235"/>
      <c r="C32" s="235"/>
      <c r="D32" s="235"/>
      <c r="E32" s="235"/>
      <c r="F32" s="55"/>
      <c r="G32" s="10"/>
      <c r="H32" s="10"/>
      <c r="I32" s="140"/>
      <c r="J32" s="140"/>
      <c r="K32" s="140"/>
    </row>
    <row r="33" spans="1:11" x14ac:dyDescent="0.25">
      <c r="A33" s="235"/>
      <c r="B33" s="235"/>
      <c r="C33" s="235"/>
      <c r="D33" s="235"/>
      <c r="E33" s="235"/>
      <c r="F33" s="55"/>
      <c r="G33" s="10"/>
      <c r="H33" s="10"/>
      <c r="I33" s="140"/>
      <c r="J33" s="140"/>
      <c r="K33" s="140"/>
    </row>
    <row r="34" spans="1:11" x14ac:dyDescent="0.25">
      <c r="A34" s="235"/>
      <c r="B34" s="235"/>
      <c r="C34" s="235"/>
      <c r="D34" s="235"/>
      <c r="E34" s="235"/>
      <c r="F34" s="55"/>
      <c r="G34" s="10"/>
      <c r="H34" s="10"/>
      <c r="I34" s="140"/>
      <c r="J34" s="140"/>
      <c r="K34" s="140"/>
    </row>
    <row r="35" spans="1:11" x14ac:dyDescent="0.25">
      <c r="A35" s="235"/>
      <c r="B35" s="235"/>
      <c r="C35" s="235"/>
      <c r="D35" s="235"/>
      <c r="E35" s="235"/>
      <c r="F35" s="55"/>
      <c r="G35" s="10"/>
      <c r="H35" s="10"/>
      <c r="I35" s="140"/>
      <c r="J35" s="140"/>
      <c r="K35" s="140"/>
    </row>
    <row r="36" spans="1:11" x14ac:dyDescent="0.25">
      <c r="A36" s="235"/>
      <c r="B36" s="235"/>
      <c r="C36" s="235"/>
      <c r="D36" s="235"/>
      <c r="E36" s="235"/>
      <c r="F36" s="55"/>
      <c r="G36" s="10"/>
      <c r="H36" s="10"/>
      <c r="I36" s="140"/>
      <c r="J36" s="140"/>
      <c r="K36" s="140"/>
    </row>
    <row r="37" spans="1:11" x14ac:dyDescent="0.25">
      <c r="A37" s="235"/>
      <c r="B37" s="235"/>
      <c r="C37" s="235"/>
      <c r="D37" s="235"/>
      <c r="E37" s="235"/>
      <c r="F37" s="55"/>
      <c r="G37" s="10"/>
      <c r="H37" s="10"/>
      <c r="I37" s="140"/>
      <c r="J37" s="140"/>
      <c r="K37" s="140"/>
    </row>
    <row r="38" spans="1:11" x14ac:dyDescent="0.25">
      <c r="A38" s="235"/>
      <c r="B38" s="235"/>
      <c r="C38" s="235"/>
      <c r="D38" s="235"/>
      <c r="E38" s="235"/>
      <c r="F38" s="55"/>
      <c r="G38" s="10"/>
      <c r="H38" s="10"/>
      <c r="I38" s="140"/>
      <c r="J38" s="140"/>
      <c r="K38" s="140"/>
    </row>
    <row r="39" spans="1:11" x14ac:dyDescent="0.25">
      <c r="A39" s="235"/>
      <c r="B39" s="235"/>
      <c r="C39" s="235"/>
      <c r="D39" s="235"/>
      <c r="E39" s="235"/>
      <c r="F39" s="55"/>
      <c r="G39" s="10"/>
      <c r="H39" s="10"/>
      <c r="I39" s="140"/>
      <c r="J39" s="140"/>
      <c r="K39" s="140"/>
    </row>
    <row r="40" spans="1:11" x14ac:dyDescent="0.25">
      <c r="A40" s="235"/>
      <c r="B40" s="235"/>
      <c r="C40" s="235"/>
      <c r="D40" s="235"/>
      <c r="E40" s="235"/>
      <c r="F40" s="55"/>
      <c r="G40" s="10"/>
      <c r="H40" s="10"/>
      <c r="I40" s="140"/>
      <c r="J40" s="140"/>
      <c r="K40" s="140"/>
    </row>
    <row r="41" spans="1:11" x14ac:dyDescent="0.25">
      <c r="A41" s="235"/>
      <c r="B41" s="235"/>
      <c r="C41" s="235"/>
      <c r="D41" s="235"/>
      <c r="E41" s="235"/>
      <c r="F41" s="55"/>
      <c r="G41" s="10"/>
      <c r="H41" s="10"/>
      <c r="I41" s="140"/>
      <c r="J41" s="140"/>
      <c r="K41" s="140"/>
    </row>
    <row r="42" spans="1:11" x14ac:dyDescent="0.25">
      <c r="A42" s="235"/>
      <c r="B42" s="235"/>
      <c r="C42" s="235"/>
      <c r="D42" s="235"/>
      <c r="E42" s="235"/>
      <c r="F42" s="55"/>
      <c r="G42" s="10"/>
      <c r="H42" s="10"/>
      <c r="I42" s="140"/>
      <c r="J42" s="140"/>
      <c r="K42" s="140"/>
    </row>
    <row r="43" spans="1:11" x14ac:dyDescent="0.25">
      <c r="A43" s="235"/>
      <c r="B43" s="235"/>
      <c r="C43" s="235"/>
      <c r="D43" s="235"/>
      <c r="E43" s="235"/>
      <c r="F43" s="55"/>
      <c r="G43" s="10"/>
      <c r="H43" s="10"/>
      <c r="I43" s="140"/>
      <c r="J43" s="140"/>
      <c r="K43" s="140"/>
    </row>
    <row r="44" spans="1:11" x14ac:dyDescent="0.25">
      <c r="A44" s="235"/>
      <c r="B44" s="235"/>
      <c r="C44" s="235"/>
      <c r="D44" s="235"/>
      <c r="E44" s="235"/>
      <c r="F44" s="55"/>
      <c r="G44" s="10"/>
      <c r="H44" s="10"/>
      <c r="I44" s="140"/>
      <c r="J44" s="140"/>
      <c r="K44" s="140"/>
    </row>
    <row r="45" spans="1:11" x14ac:dyDescent="0.25">
      <c r="A45" s="235"/>
      <c r="B45" s="235"/>
      <c r="C45" s="235"/>
      <c r="D45" s="235"/>
      <c r="E45" s="235"/>
      <c r="F45" s="55"/>
      <c r="G45" s="10"/>
      <c r="H45" s="10"/>
      <c r="I45" s="140"/>
      <c r="J45" s="140"/>
      <c r="K45" s="140"/>
    </row>
    <row r="46" spans="1:11" x14ac:dyDescent="0.25">
      <c r="A46" s="235"/>
      <c r="B46" s="235"/>
      <c r="C46" s="235"/>
      <c r="D46" s="235"/>
      <c r="E46" s="235"/>
      <c r="F46" s="55"/>
      <c r="G46" s="10"/>
      <c r="H46" s="10"/>
      <c r="I46" s="140"/>
      <c r="J46" s="140"/>
      <c r="K46" s="140"/>
    </row>
    <row r="47" spans="1:11" x14ac:dyDescent="0.25">
      <c r="A47" s="235"/>
      <c r="B47" s="235"/>
      <c r="C47" s="235"/>
      <c r="D47" s="235"/>
      <c r="E47" s="235"/>
      <c r="F47" s="55"/>
      <c r="G47" s="10"/>
      <c r="H47" s="10"/>
      <c r="I47" s="140"/>
      <c r="J47" s="140"/>
      <c r="K47" s="140"/>
    </row>
    <row r="48" spans="1:11" x14ac:dyDescent="0.25">
      <c r="A48" s="235"/>
      <c r="B48" s="235"/>
      <c r="C48" s="235"/>
      <c r="D48" s="235"/>
      <c r="E48" s="235"/>
      <c r="F48" s="55"/>
      <c r="G48" s="10"/>
      <c r="H48" s="10"/>
      <c r="I48" s="140"/>
      <c r="J48" s="140"/>
      <c r="K48" s="140"/>
    </row>
    <row r="49" spans="1:11" x14ac:dyDescent="0.25">
      <c r="A49" s="235"/>
      <c r="B49" s="235"/>
      <c r="C49" s="235"/>
      <c r="D49" s="235"/>
      <c r="E49" s="235"/>
      <c r="F49" s="55"/>
      <c r="G49" s="10"/>
      <c r="H49" s="10"/>
      <c r="I49" s="140"/>
      <c r="J49" s="140"/>
      <c r="K49" s="140"/>
    </row>
    <row r="50" spans="1:11" x14ac:dyDescent="0.25">
      <c r="A50" s="235"/>
      <c r="B50" s="235"/>
      <c r="C50" s="235"/>
      <c r="D50" s="235"/>
      <c r="E50" s="235"/>
      <c r="F50" s="55"/>
      <c r="G50" s="10"/>
      <c r="H50" s="10"/>
      <c r="I50" s="140"/>
      <c r="J50" s="140"/>
      <c r="K50" s="140"/>
    </row>
    <row r="51" spans="1:11" x14ac:dyDescent="0.25">
      <c r="A51" s="235"/>
      <c r="B51" s="235"/>
      <c r="C51" s="235"/>
      <c r="D51" s="235"/>
      <c r="E51" s="235"/>
      <c r="F51" s="55"/>
      <c r="G51" s="10"/>
      <c r="H51" s="10"/>
      <c r="I51" s="140"/>
      <c r="J51" s="140"/>
      <c r="K51" s="140"/>
    </row>
    <row r="52" spans="1:11" x14ac:dyDescent="0.25">
      <c r="A52" s="235"/>
      <c r="B52" s="235"/>
      <c r="C52" s="235"/>
      <c r="D52" s="235"/>
      <c r="E52" s="235"/>
      <c r="F52" s="55"/>
      <c r="G52" s="10"/>
      <c r="H52" s="10"/>
      <c r="I52" s="140"/>
      <c r="J52" s="140"/>
      <c r="K52" s="140"/>
    </row>
    <row r="53" spans="1:11" x14ac:dyDescent="0.25">
      <c r="A53" s="235"/>
      <c r="B53" s="235"/>
      <c r="C53" s="235"/>
      <c r="D53" s="235"/>
      <c r="E53" s="235"/>
      <c r="F53" s="55"/>
      <c r="G53" s="10"/>
      <c r="H53" s="10"/>
      <c r="I53" s="140"/>
      <c r="J53" s="140"/>
      <c r="K53" s="140"/>
    </row>
    <row r="54" spans="1:11" x14ac:dyDescent="0.25">
      <c r="A54" s="235"/>
      <c r="B54" s="235"/>
      <c r="C54" s="235"/>
      <c r="D54" s="235"/>
      <c r="E54" s="235"/>
      <c r="F54" s="55"/>
      <c r="G54" s="10"/>
      <c r="H54" s="10"/>
      <c r="I54" s="140"/>
      <c r="J54" s="140"/>
      <c r="K54" s="140"/>
    </row>
    <row r="55" spans="1:11" x14ac:dyDescent="0.25">
      <c r="A55" s="235"/>
      <c r="B55" s="235"/>
      <c r="C55" s="235"/>
      <c r="D55" s="235"/>
      <c r="E55" s="235"/>
      <c r="F55" s="55"/>
      <c r="G55" s="10"/>
      <c r="H55" s="10"/>
      <c r="I55" s="140"/>
      <c r="J55" s="140"/>
      <c r="K55" s="140"/>
    </row>
    <row r="56" spans="1:11" x14ac:dyDescent="0.25">
      <c r="A56" s="235"/>
      <c r="B56" s="235"/>
      <c r="C56" s="235"/>
      <c r="D56" s="235"/>
      <c r="E56" s="235"/>
      <c r="F56" s="55"/>
      <c r="G56" s="10"/>
      <c r="H56" s="10"/>
      <c r="I56" s="140"/>
      <c r="J56" s="140"/>
      <c r="K56" s="140"/>
    </row>
    <row r="57" spans="1:11" x14ac:dyDescent="0.25">
      <c r="A57" s="235"/>
      <c r="B57" s="235"/>
      <c r="C57" s="235"/>
      <c r="D57" s="235"/>
      <c r="E57" s="235"/>
      <c r="F57" s="55"/>
      <c r="G57" s="10"/>
      <c r="H57" s="10"/>
      <c r="I57" s="140"/>
      <c r="J57" s="140"/>
      <c r="K57" s="140"/>
    </row>
    <row r="58" spans="1:11" x14ac:dyDescent="0.25">
      <c r="A58" s="235"/>
      <c r="B58" s="235"/>
      <c r="C58" s="235"/>
      <c r="D58" s="235"/>
      <c r="E58" s="235"/>
      <c r="F58" s="55"/>
      <c r="G58" s="10"/>
      <c r="H58" s="10"/>
      <c r="I58" s="140"/>
      <c r="J58" s="140"/>
      <c r="K58" s="140"/>
    </row>
    <row r="59" spans="1:11" x14ac:dyDescent="0.25">
      <c r="A59" s="235"/>
      <c r="B59" s="235"/>
      <c r="C59" s="235"/>
      <c r="D59" s="235"/>
      <c r="E59" s="235"/>
      <c r="F59" s="55"/>
      <c r="G59" s="10"/>
      <c r="H59" s="10"/>
      <c r="I59" s="140"/>
      <c r="J59" s="140"/>
      <c r="K59" s="140"/>
    </row>
    <row r="60" spans="1:11" x14ac:dyDescent="0.25">
      <c r="A60" s="235"/>
      <c r="B60" s="235"/>
      <c r="C60" s="235"/>
      <c r="D60" s="235"/>
      <c r="E60" s="235"/>
      <c r="F60" s="55"/>
      <c r="G60" s="10"/>
      <c r="H60" s="10"/>
      <c r="I60" s="140"/>
      <c r="J60" s="140"/>
      <c r="K60" s="140"/>
    </row>
    <row r="61" spans="1:11" x14ac:dyDescent="0.25">
      <c r="A61" s="235"/>
      <c r="B61" s="235"/>
      <c r="C61" s="235"/>
      <c r="D61" s="235"/>
      <c r="E61" s="235"/>
      <c r="F61" s="55"/>
      <c r="G61" s="10"/>
      <c r="H61" s="10"/>
      <c r="I61" s="140"/>
      <c r="J61" s="140"/>
      <c r="K61" s="140"/>
    </row>
    <row r="62" spans="1:11" x14ac:dyDescent="0.25">
      <c r="A62" s="235"/>
      <c r="B62" s="235"/>
      <c r="C62" s="235"/>
      <c r="D62" s="235"/>
      <c r="E62" s="235"/>
      <c r="F62" s="55"/>
      <c r="G62" s="10"/>
      <c r="H62" s="10"/>
      <c r="I62" s="140"/>
      <c r="J62" s="140"/>
      <c r="K62" s="140"/>
    </row>
    <row r="63" spans="1:11" x14ac:dyDescent="0.25">
      <c r="A63" s="235"/>
      <c r="B63" s="235"/>
      <c r="C63" s="235"/>
      <c r="D63" s="235"/>
      <c r="E63" s="235"/>
      <c r="F63" s="55"/>
      <c r="G63" s="10"/>
      <c r="H63" s="10"/>
      <c r="I63" s="140"/>
      <c r="J63" s="140"/>
      <c r="K63" s="140"/>
    </row>
    <row r="64" spans="1:11" x14ac:dyDescent="0.25">
      <c r="A64" s="235"/>
      <c r="B64" s="235"/>
      <c r="C64" s="235"/>
      <c r="D64" s="235"/>
      <c r="E64" s="235"/>
      <c r="F64" s="55"/>
      <c r="G64" s="10"/>
      <c r="H64" s="10"/>
      <c r="I64" s="140"/>
      <c r="J64" s="140"/>
      <c r="K64" s="140"/>
    </row>
    <row r="65" spans="1:11" x14ac:dyDescent="0.25">
      <c r="A65" s="235"/>
      <c r="B65" s="235"/>
      <c r="C65" s="235"/>
      <c r="D65" s="235"/>
      <c r="E65" s="235"/>
      <c r="F65" s="55"/>
      <c r="G65" s="10"/>
      <c r="H65" s="10"/>
      <c r="I65" s="140"/>
      <c r="J65" s="140"/>
      <c r="K65" s="140"/>
    </row>
    <row r="66" spans="1:11" x14ac:dyDescent="0.25">
      <c r="A66" s="235"/>
      <c r="B66" s="235"/>
      <c r="C66" s="235"/>
      <c r="D66" s="235"/>
      <c r="E66" s="235"/>
      <c r="F66" s="55"/>
      <c r="G66" s="10"/>
      <c r="H66" s="10"/>
      <c r="I66" s="140"/>
      <c r="J66" s="140"/>
      <c r="K66" s="140"/>
    </row>
    <row r="67" spans="1:11" x14ac:dyDescent="0.25">
      <c r="A67" s="235"/>
      <c r="B67" s="235"/>
      <c r="C67" s="235"/>
      <c r="D67" s="235"/>
      <c r="E67" s="235"/>
      <c r="F67" s="55"/>
      <c r="G67" s="10"/>
      <c r="H67" s="10"/>
      <c r="I67" s="140"/>
      <c r="J67" s="140"/>
      <c r="K67" s="140"/>
    </row>
    <row r="68" spans="1:11" x14ac:dyDescent="0.25">
      <c r="A68" s="235"/>
      <c r="B68" s="235"/>
      <c r="C68" s="235"/>
      <c r="D68" s="235"/>
      <c r="E68" s="235"/>
      <c r="F68" s="55"/>
      <c r="G68" s="10"/>
      <c r="H68" s="10"/>
      <c r="I68" s="140"/>
      <c r="J68" s="140"/>
      <c r="K68" s="140"/>
    </row>
    <row r="69" spans="1:11" x14ac:dyDescent="0.25">
      <c r="A69" s="235"/>
      <c r="B69" s="235"/>
      <c r="C69" s="235"/>
      <c r="D69" s="235"/>
      <c r="E69" s="235"/>
      <c r="F69" s="55"/>
      <c r="G69" s="10"/>
      <c r="H69" s="10"/>
      <c r="I69" s="140"/>
      <c r="J69" s="140"/>
      <c r="K69" s="140"/>
    </row>
    <row r="70" spans="1:11" x14ac:dyDescent="0.25">
      <c r="A70" s="235"/>
      <c r="B70" s="235"/>
      <c r="C70" s="235"/>
      <c r="D70" s="235"/>
      <c r="E70" s="235"/>
      <c r="F70" s="55"/>
      <c r="G70" s="10"/>
      <c r="H70" s="10"/>
      <c r="I70" s="140"/>
      <c r="J70" s="140"/>
      <c r="K70" s="140"/>
    </row>
    <row r="71" spans="1:11" x14ac:dyDescent="0.25">
      <c r="A71" s="235"/>
      <c r="B71" s="235"/>
      <c r="C71" s="235"/>
      <c r="D71" s="235"/>
      <c r="E71" s="235"/>
      <c r="F71" s="55"/>
      <c r="G71" s="10"/>
      <c r="H71" s="10"/>
      <c r="I71" s="140"/>
      <c r="J71" s="140"/>
      <c r="K71" s="140"/>
    </row>
    <row r="72" spans="1:11" x14ac:dyDescent="0.25">
      <c r="A72" s="235"/>
      <c r="B72" s="235"/>
      <c r="C72" s="235"/>
      <c r="D72" s="235"/>
      <c r="E72" s="235"/>
      <c r="F72" s="55"/>
      <c r="G72" s="10"/>
      <c r="H72" s="10"/>
      <c r="I72" s="140"/>
      <c r="J72" s="140"/>
      <c r="K72" s="140"/>
    </row>
    <row r="73" spans="1:11" x14ac:dyDescent="0.25">
      <c r="A73" s="235"/>
      <c r="B73" s="235"/>
      <c r="C73" s="235"/>
      <c r="D73" s="235"/>
      <c r="E73" s="235"/>
      <c r="F73" s="55"/>
      <c r="G73" s="10"/>
      <c r="H73" s="10"/>
      <c r="I73" s="140"/>
      <c r="J73" s="140"/>
      <c r="K73" s="140"/>
    </row>
    <row r="74" spans="1:11" x14ac:dyDescent="0.25">
      <c r="A74" s="235"/>
      <c r="B74" s="235"/>
      <c r="C74" s="235"/>
      <c r="D74" s="235"/>
      <c r="E74" s="235"/>
      <c r="F74" s="55"/>
      <c r="G74" s="10"/>
      <c r="H74" s="10"/>
      <c r="I74" s="140"/>
      <c r="J74" s="140"/>
      <c r="K74" s="140"/>
    </row>
    <row r="75" spans="1:11" x14ac:dyDescent="0.25">
      <c r="A75" s="235"/>
      <c r="B75" s="235"/>
      <c r="C75" s="235"/>
      <c r="D75" s="235"/>
      <c r="E75" s="235"/>
      <c r="F75" s="55"/>
      <c r="G75" s="10"/>
      <c r="H75" s="10"/>
      <c r="I75" s="140"/>
      <c r="J75" s="140"/>
      <c r="K75" s="140"/>
    </row>
    <row r="76" spans="1:11" x14ac:dyDescent="0.25">
      <c r="A76" s="235"/>
      <c r="B76" s="235"/>
      <c r="C76" s="235"/>
      <c r="D76" s="235"/>
      <c r="E76" s="235"/>
      <c r="F76" s="55"/>
      <c r="G76" s="10"/>
      <c r="H76" s="10"/>
      <c r="I76" s="140"/>
      <c r="J76" s="140"/>
      <c r="K76" s="140"/>
    </row>
    <row r="77" spans="1:11" x14ac:dyDescent="0.25">
      <c r="A77" s="235"/>
      <c r="B77" s="235"/>
      <c r="C77" s="235"/>
      <c r="D77" s="235"/>
      <c r="E77" s="235"/>
      <c r="F77" s="55"/>
      <c r="G77" s="10"/>
      <c r="H77" s="10"/>
      <c r="I77" s="140"/>
      <c r="J77" s="140"/>
      <c r="K77" s="140"/>
    </row>
    <row r="78" spans="1:11" x14ac:dyDescent="0.25">
      <c r="A78" s="235"/>
      <c r="B78" s="235"/>
      <c r="C78" s="235"/>
      <c r="D78" s="235"/>
      <c r="E78" s="235"/>
      <c r="F78" s="55"/>
      <c r="G78" s="10"/>
      <c r="H78" s="10"/>
      <c r="I78" s="140"/>
      <c r="J78" s="140"/>
      <c r="K78" s="140"/>
    </row>
    <row r="79" spans="1:11" x14ac:dyDescent="0.25">
      <c r="A79" s="235"/>
      <c r="B79" s="235"/>
      <c r="C79" s="235"/>
      <c r="D79" s="235"/>
      <c r="E79" s="235"/>
      <c r="F79" s="55"/>
      <c r="G79" s="10"/>
      <c r="H79" s="10"/>
      <c r="I79" s="140"/>
      <c r="J79" s="140"/>
      <c r="K79" s="140"/>
    </row>
    <row r="80" spans="1:11" x14ac:dyDescent="0.25">
      <c r="A80" s="235"/>
      <c r="B80" s="235"/>
      <c r="C80" s="235"/>
      <c r="D80" s="235"/>
      <c r="E80" s="235"/>
      <c r="F80" s="55"/>
      <c r="G80" s="10"/>
      <c r="H80" s="10"/>
      <c r="I80" s="140"/>
      <c r="J80" s="140"/>
      <c r="K80" s="140"/>
    </row>
    <row r="81" spans="1:11" x14ac:dyDescent="0.25">
      <c r="A81" s="235"/>
      <c r="B81" s="235"/>
      <c r="C81" s="235"/>
      <c r="D81" s="235"/>
      <c r="E81" s="235"/>
      <c r="F81" s="55"/>
      <c r="G81" s="10"/>
      <c r="H81" s="10"/>
      <c r="I81" s="140"/>
      <c r="J81" s="140"/>
      <c r="K81" s="140"/>
    </row>
    <row r="82" spans="1:11" x14ac:dyDescent="0.25">
      <c r="A82" s="235"/>
      <c r="B82" s="235"/>
      <c r="C82" s="235"/>
      <c r="D82" s="235"/>
      <c r="E82" s="235"/>
      <c r="F82" s="55"/>
      <c r="G82" s="10"/>
      <c r="H82" s="10"/>
      <c r="I82" s="140"/>
      <c r="J82" s="140"/>
      <c r="K82" s="140"/>
    </row>
    <row r="83" spans="1:11" x14ac:dyDescent="0.25">
      <c r="A83" s="235"/>
      <c r="B83" s="235"/>
      <c r="C83" s="235"/>
      <c r="D83" s="235"/>
      <c r="E83" s="235"/>
      <c r="F83" s="55"/>
      <c r="G83" s="10"/>
      <c r="H83" s="10"/>
      <c r="I83" s="140"/>
      <c r="J83" s="140"/>
      <c r="K83" s="140"/>
    </row>
    <row r="84" spans="1:11" x14ac:dyDescent="0.25">
      <c r="A84" s="235"/>
      <c r="B84" s="235"/>
      <c r="C84" s="235"/>
      <c r="D84" s="235"/>
      <c r="E84" s="235"/>
      <c r="F84" s="55"/>
      <c r="G84" s="10"/>
      <c r="H84" s="10"/>
      <c r="I84" s="140"/>
      <c r="J84" s="140"/>
      <c r="K84" s="140"/>
    </row>
    <row r="85" spans="1:11" x14ac:dyDescent="0.25">
      <c r="A85" s="235"/>
      <c r="B85" s="235"/>
      <c r="C85" s="235"/>
      <c r="D85" s="235"/>
      <c r="E85" s="235"/>
      <c r="F85" s="55"/>
      <c r="G85" s="10"/>
      <c r="H85" s="10"/>
      <c r="I85" s="140"/>
      <c r="J85" s="140"/>
      <c r="K85" s="140"/>
    </row>
    <row r="86" spans="1:11" x14ac:dyDescent="0.25">
      <c r="A86" s="235"/>
      <c r="B86" s="235"/>
      <c r="C86" s="235"/>
      <c r="D86" s="235"/>
      <c r="E86" s="235"/>
      <c r="F86" s="55"/>
      <c r="G86" s="10"/>
      <c r="H86" s="10"/>
      <c r="I86" s="140"/>
      <c r="J86" s="140"/>
      <c r="K86" s="140"/>
    </row>
    <row r="87" spans="1:11" x14ac:dyDescent="0.25">
      <c r="A87" s="235"/>
      <c r="B87" s="235"/>
      <c r="C87" s="235"/>
      <c r="D87" s="235"/>
      <c r="E87" s="235"/>
      <c r="F87" s="55"/>
      <c r="G87" s="10"/>
      <c r="H87" s="10"/>
      <c r="I87" s="140"/>
      <c r="J87" s="140"/>
      <c r="K87" s="140"/>
    </row>
    <row r="88" spans="1:11" x14ac:dyDescent="0.25">
      <c r="A88" s="235"/>
      <c r="B88" s="235"/>
      <c r="C88" s="235"/>
      <c r="D88" s="235"/>
      <c r="E88" s="235"/>
      <c r="F88" s="55"/>
      <c r="G88" s="10"/>
      <c r="H88" s="10"/>
      <c r="I88" s="140"/>
      <c r="J88" s="140"/>
      <c r="K88" s="140"/>
    </row>
  </sheetData>
  <mergeCells count="183">
    <mergeCell ref="I3:J3"/>
    <mergeCell ref="C4:E4"/>
    <mergeCell ref="A4:B4"/>
    <mergeCell ref="C3:E3"/>
    <mergeCell ref="A3:B3"/>
    <mergeCell ref="G4:H4"/>
    <mergeCell ref="G3:H3"/>
    <mergeCell ref="I4:J4"/>
    <mergeCell ref="A7:B7"/>
    <mergeCell ref="C7:E7"/>
    <mergeCell ref="A5:B5"/>
    <mergeCell ref="C5:E5"/>
    <mergeCell ref="C6:E6"/>
    <mergeCell ref="G5:H5"/>
    <mergeCell ref="G6:H6"/>
    <mergeCell ref="G7:H7"/>
    <mergeCell ref="G8:H8"/>
    <mergeCell ref="I5:J5"/>
    <mergeCell ref="I6:J6"/>
    <mergeCell ref="I7:J7"/>
    <mergeCell ref="I8:J8"/>
    <mergeCell ref="A9:B9"/>
    <mergeCell ref="C9:E9"/>
    <mergeCell ref="A8:B8"/>
    <mergeCell ref="C8:E8"/>
    <mergeCell ref="A11:B11"/>
    <mergeCell ref="C11:E11"/>
    <mergeCell ref="A10:B10"/>
    <mergeCell ref="C10:E10"/>
    <mergeCell ref="A13:B13"/>
    <mergeCell ref="C13:E13"/>
    <mergeCell ref="A12:B12"/>
    <mergeCell ref="C12:E12"/>
    <mergeCell ref="A15:B15"/>
    <mergeCell ref="C15:E15"/>
    <mergeCell ref="A14:B14"/>
    <mergeCell ref="C14:E14"/>
    <mergeCell ref="A17:B17"/>
    <mergeCell ref="C17:E17"/>
    <mergeCell ref="A16:B16"/>
    <mergeCell ref="C16:E16"/>
    <mergeCell ref="A19:B19"/>
    <mergeCell ref="C19:E19"/>
    <mergeCell ref="A18:B18"/>
    <mergeCell ref="C18:E18"/>
    <mergeCell ref="A21:B21"/>
    <mergeCell ref="C21:E21"/>
    <mergeCell ref="A20:B20"/>
    <mergeCell ref="C20:E20"/>
    <mergeCell ref="A23:B23"/>
    <mergeCell ref="C23:E23"/>
    <mergeCell ref="A22:B22"/>
    <mergeCell ref="C22:E22"/>
    <mergeCell ref="A25:B25"/>
    <mergeCell ref="C25:E25"/>
    <mergeCell ref="A24:B24"/>
    <mergeCell ref="C24:E24"/>
    <mergeCell ref="A27:B27"/>
    <mergeCell ref="C27:E27"/>
    <mergeCell ref="A26:B26"/>
    <mergeCell ref="C26:E26"/>
    <mergeCell ref="A29:B29"/>
    <mergeCell ref="C29:E29"/>
    <mergeCell ref="A28:B28"/>
    <mergeCell ref="C28:E28"/>
    <mergeCell ref="A31:B31"/>
    <mergeCell ref="C31:E31"/>
    <mergeCell ref="A30:B30"/>
    <mergeCell ref="C30:E30"/>
    <mergeCell ref="A33:B33"/>
    <mergeCell ref="C33:E33"/>
    <mergeCell ref="A32:B32"/>
    <mergeCell ref="C32:E32"/>
    <mergeCell ref="A35:B35"/>
    <mergeCell ref="C35:E35"/>
    <mergeCell ref="A34:B34"/>
    <mergeCell ref="C34:E34"/>
    <mergeCell ref="A37:B37"/>
    <mergeCell ref="C37:E37"/>
    <mergeCell ref="A36:B36"/>
    <mergeCell ref="C36:E36"/>
    <mergeCell ref="A39:B39"/>
    <mergeCell ref="C39:E39"/>
    <mergeCell ref="A38:B38"/>
    <mergeCell ref="C38:E38"/>
    <mergeCell ref="A41:B41"/>
    <mergeCell ref="C41:E41"/>
    <mergeCell ref="A40:B40"/>
    <mergeCell ref="C40:E40"/>
    <mergeCell ref="A43:B43"/>
    <mergeCell ref="C43:E43"/>
    <mergeCell ref="A42:B42"/>
    <mergeCell ref="C42:E42"/>
    <mergeCell ref="A45:B45"/>
    <mergeCell ref="C45:E45"/>
    <mergeCell ref="A44:B44"/>
    <mergeCell ref="C44:E44"/>
    <mergeCell ref="A47:B47"/>
    <mergeCell ref="C47:E47"/>
    <mergeCell ref="A46:B46"/>
    <mergeCell ref="C46:E46"/>
    <mergeCell ref="A49:B49"/>
    <mergeCell ref="C49:E49"/>
    <mergeCell ref="A48:B48"/>
    <mergeCell ref="C48:E48"/>
    <mergeCell ref="A51:B51"/>
    <mergeCell ref="C51:E51"/>
    <mergeCell ref="A50:B50"/>
    <mergeCell ref="C50:E50"/>
    <mergeCell ref="A53:B53"/>
    <mergeCell ref="C53:E53"/>
    <mergeCell ref="A52:B52"/>
    <mergeCell ref="C52:E52"/>
    <mergeCell ref="A55:B55"/>
    <mergeCell ref="C55:E55"/>
    <mergeCell ref="A54:B54"/>
    <mergeCell ref="C54:E54"/>
    <mergeCell ref="A57:B57"/>
    <mergeCell ref="C57:E57"/>
    <mergeCell ref="A56:B56"/>
    <mergeCell ref="C56:E56"/>
    <mergeCell ref="A59:B59"/>
    <mergeCell ref="C59:E59"/>
    <mergeCell ref="A58:B58"/>
    <mergeCell ref="C58:E58"/>
    <mergeCell ref="A61:B61"/>
    <mergeCell ref="C61:E61"/>
    <mergeCell ref="A60:B60"/>
    <mergeCell ref="C60:E60"/>
    <mergeCell ref="A63:B63"/>
    <mergeCell ref="C63:E63"/>
    <mergeCell ref="A62:B62"/>
    <mergeCell ref="C62:E62"/>
    <mergeCell ref="A65:B65"/>
    <mergeCell ref="C65:E65"/>
    <mergeCell ref="A64:B64"/>
    <mergeCell ref="C64:E64"/>
    <mergeCell ref="A67:B67"/>
    <mergeCell ref="C67:E67"/>
    <mergeCell ref="A66:B66"/>
    <mergeCell ref="C66:E66"/>
    <mergeCell ref="A69:B69"/>
    <mergeCell ref="C69:E69"/>
    <mergeCell ref="A68:B68"/>
    <mergeCell ref="C68:E68"/>
    <mergeCell ref="A71:B71"/>
    <mergeCell ref="C71:E71"/>
    <mergeCell ref="A70:B70"/>
    <mergeCell ref="C70:E70"/>
    <mergeCell ref="A73:B73"/>
    <mergeCell ref="C73:E73"/>
    <mergeCell ref="A72:B72"/>
    <mergeCell ref="C72:E72"/>
    <mergeCell ref="A75:B75"/>
    <mergeCell ref="C75:E75"/>
    <mergeCell ref="A74:B74"/>
    <mergeCell ref="C74:E74"/>
    <mergeCell ref="A77:B77"/>
    <mergeCell ref="C77:E77"/>
    <mergeCell ref="A76:B76"/>
    <mergeCell ref="C76:E76"/>
    <mergeCell ref="A79:B79"/>
    <mergeCell ref="C79:E79"/>
    <mergeCell ref="A78:B78"/>
    <mergeCell ref="C78:E78"/>
    <mergeCell ref="A81:B81"/>
    <mergeCell ref="C81:E81"/>
    <mergeCell ref="A80:B80"/>
    <mergeCell ref="C80:E80"/>
    <mergeCell ref="A83:B83"/>
    <mergeCell ref="C83:E83"/>
    <mergeCell ref="A82:B82"/>
    <mergeCell ref="C82:E82"/>
    <mergeCell ref="A85:B85"/>
    <mergeCell ref="C85:E85"/>
    <mergeCell ref="A84:B84"/>
    <mergeCell ref="C84:E84"/>
    <mergeCell ref="A88:B88"/>
    <mergeCell ref="C88:E88"/>
    <mergeCell ref="A87:B87"/>
    <mergeCell ref="C87:E87"/>
    <mergeCell ref="A86:B86"/>
    <mergeCell ref="C86:E86"/>
  </mergeCells>
  <printOptions horizontalCentered="1" verticalCentered="1"/>
  <pageMargins left="0.90551181102362199" right="0.90551181102362199" top="0.74803149606299202" bottom="0.74803149606299202" header="0.31496062992126" footer="0.31496062992126"/>
  <pageSetup paperSize="9" scale="56" orientation="portrait" r:id="rId1"/>
  <headerFooter>
    <oddHeader>&amp;LEF5  Rev2&amp;RConfidential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1"/>
  <sheetViews>
    <sheetView showGridLines="0" tabSelected="1" view="pageBreakPreview" zoomScaleNormal="90" zoomScaleSheetLayoutView="100" workbookViewId="0">
      <selection activeCell="H303" sqref="H303"/>
    </sheetView>
  </sheetViews>
  <sheetFormatPr defaultRowHeight="15" x14ac:dyDescent="0.25"/>
  <cols>
    <col min="1" max="1" width="12.42578125" customWidth="1"/>
    <col min="2" max="2" width="3.140625" customWidth="1"/>
    <col min="3" max="3" width="26.140625" customWidth="1"/>
    <col min="4" max="4" width="11.5703125" hidden="1" customWidth="1"/>
    <col min="5" max="5" width="3.85546875" customWidth="1"/>
    <col min="6" max="6" width="45" customWidth="1"/>
    <col min="7" max="7" width="7.140625" style="25" customWidth="1"/>
    <col min="8" max="8" width="85.7109375" style="25" customWidth="1"/>
    <col min="9" max="9" width="7.85546875" customWidth="1"/>
    <col min="10" max="10" width="12" customWidth="1"/>
    <col min="11" max="11" width="5.28515625" customWidth="1"/>
    <col min="12" max="13" width="7.7109375" customWidth="1"/>
    <col min="14" max="14" width="7.7109375" style="22" customWidth="1"/>
    <col min="15" max="15" width="15.85546875" customWidth="1"/>
    <col min="16" max="16" width="15.85546875" bestFit="1" customWidth="1"/>
    <col min="17" max="17" width="21.7109375" hidden="1" customWidth="1"/>
  </cols>
  <sheetData>
    <row r="1" spans="1:22" ht="21" thickBot="1" x14ac:dyDescent="0.35">
      <c r="A1" s="45" t="s">
        <v>387</v>
      </c>
      <c r="B1" s="146"/>
      <c r="C1" s="46"/>
      <c r="D1" s="46"/>
      <c r="E1" s="46"/>
      <c r="F1" s="46"/>
      <c r="G1" s="47"/>
      <c r="H1" s="47"/>
      <c r="I1" s="46"/>
      <c r="J1" s="46"/>
      <c r="K1" s="46"/>
      <c r="L1" s="46"/>
      <c r="M1" s="166" t="s">
        <v>367</v>
      </c>
      <c r="N1" s="167"/>
      <c r="O1" s="166">
        <f>'COVER 1'!Y6</f>
        <v>0</v>
      </c>
      <c r="P1" s="168"/>
    </row>
    <row r="2" spans="1:22" ht="15.75" thickTop="1" x14ac:dyDescent="0.25">
      <c r="A2" s="48" t="s">
        <v>384</v>
      </c>
      <c r="B2" s="154" t="s">
        <v>346</v>
      </c>
      <c r="C2" s="8">
        <f>'COVER 1'!H6</f>
        <v>0</v>
      </c>
      <c r="M2" s="179" t="s">
        <v>339</v>
      </c>
      <c r="N2" s="180"/>
      <c r="O2" s="59" t="s">
        <v>340</v>
      </c>
      <c r="P2" s="60" t="s">
        <v>341</v>
      </c>
    </row>
    <row r="3" spans="1:22" x14ac:dyDescent="0.25">
      <c r="A3" s="48" t="s">
        <v>385</v>
      </c>
      <c r="B3" s="154" t="s">
        <v>346</v>
      </c>
      <c r="C3" s="246">
        <f>'COVER 1'!H10</f>
        <v>0</v>
      </c>
      <c r="D3" s="131"/>
      <c r="M3" s="181"/>
      <c r="N3" s="182"/>
      <c r="O3" s="185" t="s">
        <v>342</v>
      </c>
      <c r="P3" s="186"/>
    </row>
    <row r="4" spans="1:22" x14ac:dyDescent="0.25">
      <c r="A4" s="50" t="s">
        <v>386</v>
      </c>
      <c r="B4" s="155" t="s">
        <v>346</v>
      </c>
      <c r="C4" s="8">
        <f>'COVER 1'!Y10</f>
        <v>0</v>
      </c>
      <c r="M4" s="181"/>
      <c r="N4" s="182"/>
      <c r="O4" s="181"/>
      <c r="P4" s="187"/>
    </row>
    <row r="5" spans="1:22" ht="15.75" thickBot="1" x14ac:dyDescent="0.3">
      <c r="A5" s="27"/>
      <c r="M5" s="183"/>
      <c r="N5" s="184"/>
      <c r="O5" s="183"/>
      <c r="P5" s="188"/>
    </row>
    <row r="6" spans="1:22" s="1" customFormat="1" ht="25.5" customHeight="1" x14ac:dyDescent="0.25">
      <c r="A6" s="195" t="s">
        <v>219</v>
      </c>
      <c r="B6" s="196"/>
      <c r="C6" s="163" t="s">
        <v>321</v>
      </c>
      <c r="D6" s="163" t="s">
        <v>372</v>
      </c>
      <c r="E6" s="175" t="s">
        <v>338</v>
      </c>
      <c r="F6" s="176"/>
      <c r="G6" s="57"/>
      <c r="H6" s="163" t="s">
        <v>325</v>
      </c>
      <c r="I6" s="163" t="s">
        <v>332</v>
      </c>
      <c r="J6" s="163" t="s">
        <v>326</v>
      </c>
      <c r="K6" s="163" t="s">
        <v>337</v>
      </c>
      <c r="L6" s="192" t="s">
        <v>331</v>
      </c>
      <c r="M6" s="193"/>
      <c r="N6" s="194"/>
      <c r="O6" s="163" t="s">
        <v>329</v>
      </c>
      <c r="P6" s="190" t="s">
        <v>330</v>
      </c>
      <c r="Q6" s="153" t="s">
        <v>378</v>
      </c>
    </row>
    <row r="7" spans="1:22" ht="15.75" thickBot="1" x14ac:dyDescent="0.3">
      <c r="A7" s="197"/>
      <c r="B7" s="198"/>
      <c r="C7" s="164"/>
      <c r="D7" s="164"/>
      <c r="E7" s="177"/>
      <c r="F7" s="174"/>
      <c r="G7" s="58"/>
      <c r="H7" s="164"/>
      <c r="I7" s="164"/>
      <c r="J7" s="164"/>
      <c r="K7" s="164"/>
      <c r="L7" s="41" t="s">
        <v>322</v>
      </c>
      <c r="M7" s="41" t="s">
        <v>323</v>
      </c>
      <c r="N7" s="41" t="s">
        <v>324</v>
      </c>
      <c r="O7" s="164"/>
      <c r="P7" s="191"/>
      <c r="Q7" s="142" t="str">
        <f>IF(COUNTIF(Q8:Q11,"✅ OK")=COUNTA(Q8:Q11), "NORMAL", "ABNORMAL")</f>
        <v>ABNORMAL</v>
      </c>
    </row>
    <row r="8" spans="1:22" ht="15.75" thickTop="1" x14ac:dyDescent="0.25">
      <c r="A8" s="199"/>
      <c r="B8" s="200"/>
      <c r="C8" s="29"/>
      <c r="D8" s="61" t="s">
        <v>376</v>
      </c>
      <c r="E8" s="178">
        <v>1</v>
      </c>
      <c r="F8" s="178"/>
      <c r="G8" s="30" t="str">
        <f>IF(E8="", G8, E8 &amp; "." &amp; 1)</f>
        <v>1.1</v>
      </c>
      <c r="H8" s="152"/>
      <c r="I8" s="29"/>
      <c r="J8" s="29"/>
      <c r="K8" s="29"/>
      <c r="L8" s="31"/>
      <c r="M8" s="31"/>
      <c r="N8" s="31"/>
      <c r="O8" s="139" t="str">
        <f>IFERROR(IF(J8="Man",AVERAGE(L8:N8))/I8/60,"")</f>
        <v/>
      </c>
      <c r="P8" s="52" t="str">
        <f>IFERROR(IF(J8="Machine",AVERAGE(L8:N8))/I8/60,"")</f>
        <v/>
      </c>
      <c r="Q8" s="142" t="e">
        <f>IF(MAX(L8:N8)/AVERAGE(L8:N8)&gt;1.2,
   "⚠️ CYCLE "&amp;MATCH(MAX(L8:N8),L8:N8,0)&amp;" MENCOLOK",
   "✅ OK")</f>
        <v>#DIV/0!</v>
      </c>
    </row>
    <row r="9" spans="1:22" x14ac:dyDescent="0.25">
      <c r="A9" s="159"/>
      <c r="B9" s="160"/>
      <c r="C9" s="33"/>
      <c r="D9" s="61" t="s">
        <v>376</v>
      </c>
      <c r="E9" s="171"/>
      <c r="F9" s="171"/>
      <c r="G9" s="30" t="str">
        <f>IF(E8="", G8, E8 &amp; "." &amp; 2)</f>
        <v>1.2</v>
      </c>
      <c r="H9" s="43"/>
      <c r="I9" s="33"/>
      <c r="J9" s="29"/>
      <c r="K9" s="29"/>
      <c r="L9" s="35"/>
      <c r="M9" s="35"/>
      <c r="N9" s="35"/>
      <c r="O9" s="139" t="str">
        <f t="shared" ref="O9:O63" si="0">IFERROR(IF(J9="Man",AVERAGE(L9:N9))/I9/60,"")</f>
        <v/>
      </c>
      <c r="P9" s="52" t="str">
        <f t="shared" ref="P9:P63" si="1">IFERROR(IF(J9="Machine",AVERAGE(L9:N9))/I9/60,"")</f>
        <v/>
      </c>
      <c r="Q9" s="142" t="e">
        <f t="shared" ref="Q9:Q11" si="2">IF(MAX(L9:N9)/AVERAGE(L9:N9)&gt;1.3,
   "⚠️ CYCLE "&amp;MATCH(MAX(L9:N9),L9:N9,0)&amp;" MENCOLOK",
   "✅ OK")</f>
        <v>#DIV/0!</v>
      </c>
    </row>
    <row r="10" spans="1:22" x14ac:dyDescent="0.25">
      <c r="A10" s="159"/>
      <c r="B10" s="160"/>
      <c r="C10" s="33"/>
      <c r="D10" s="61" t="s">
        <v>376</v>
      </c>
      <c r="E10" s="171"/>
      <c r="F10" s="171"/>
      <c r="G10" s="30" t="str">
        <f>IF(E8="", G8, E8 &amp; "." &amp; 3)</f>
        <v>1.3</v>
      </c>
      <c r="H10" s="43"/>
      <c r="I10" s="33"/>
      <c r="J10" s="29"/>
      <c r="K10" s="29"/>
      <c r="L10" s="35"/>
      <c r="M10" s="35"/>
      <c r="N10" s="35"/>
      <c r="O10" s="139" t="str">
        <f t="shared" si="0"/>
        <v/>
      </c>
      <c r="P10" s="52" t="str">
        <f t="shared" si="1"/>
        <v/>
      </c>
      <c r="Q10" s="142" t="e">
        <f t="shared" si="2"/>
        <v>#DIV/0!</v>
      </c>
    </row>
    <row r="11" spans="1:22" x14ac:dyDescent="0.25">
      <c r="A11" s="159"/>
      <c r="B11" s="160"/>
      <c r="C11" s="33"/>
      <c r="D11" s="61" t="s">
        <v>376</v>
      </c>
      <c r="E11" s="171"/>
      <c r="F11" s="172"/>
      <c r="G11" s="30" t="str">
        <f>IF(E8="", G8, E8 &amp; "." &amp; 4)</f>
        <v>1.4</v>
      </c>
      <c r="H11" s="43"/>
      <c r="I11" s="33"/>
      <c r="J11" s="29"/>
      <c r="K11" s="29"/>
      <c r="L11" s="35"/>
      <c r="M11" s="35"/>
      <c r="N11" s="35"/>
      <c r="O11" s="139" t="str">
        <f t="shared" si="0"/>
        <v/>
      </c>
      <c r="P11" s="52" t="str">
        <f t="shared" si="1"/>
        <v/>
      </c>
      <c r="Q11" s="142" t="e">
        <f t="shared" si="2"/>
        <v>#DIV/0!</v>
      </c>
      <c r="V11" s="165"/>
    </row>
    <row r="12" spans="1:22" x14ac:dyDescent="0.25">
      <c r="A12" s="159"/>
      <c r="B12" s="160"/>
      <c r="C12" s="33"/>
      <c r="D12" s="40"/>
      <c r="E12" s="170">
        <v>2</v>
      </c>
      <c r="F12" s="170"/>
      <c r="G12" s="30" t="str">
        <f>IF(E12="", G12, E12 &amp; "." &amp; 1)</f>
        <v>2.1</v>
      </c>
      <c r="H12" s="43"/>
      <c r="I12" s="33"/>
      <c r="J12" s="29"/>
      <c r="K12" s="29"/>
      <c r="L12" s="35"/>
      <c r="M12" s="35"/>
      <c r="N12" s="35"/>
      <c r="O12" s="139" t="str">
        <f t="shared" si="0"/>
        <v/>
      </c>
      <c r="P12" s="52" t="str">
        <f t="shared" si="1"/>
        <v/>
      </c>
      <c r="V12" s="165"/>
    </row>
    <row r="13" spans="1:22" x14ac:dyDescent="0.25">
      <c r="A13" s="159"/>
      <c r="B13" s="160"/>
      <c r="C13" s="33"/>
      <c r="D13" s="61"/>
      <c r="E13" s="171"/>
      <c r="F13" s="171"/>
      <c r="G13" s="30" t="str">
        <f>IF(E12="", G12, E12 &amp; "." &amp; 2)</f>
        <v>2.2</v>
      </c>
      <c r="H13" s="43"/>
      <c r="I13" s="33"/>
      <c r="J13" s="29"/>
      <c r="K13" s="29"/>
      <c r="L13" s="35"/>
      <c r="M13" s="35"/>
      <c r="N13" s="35"/>
      <c r="O13" s="139" t="str">
        <f t="shared" si="0"/>
        <v/>
      </c>
      <c r="P13" s="52" t="str">
        <f t="shared" si="1"/>
        <v/>
      </c>
      <c r="V13" s="165"/>
    </row>
    <row r="14" spans="1:22" x14ac:dyDescent="0.25">
      <c r="A14" s="159"/>
      <c r="B14" s="160"/>
      <c r="C14" s="33"/>
      <c r="D14" s="61"/>
      <c r="E14" s="171"/>
      <c r="F14" s="171"/>
      <c r="G14" s="30" t="str">
        <f>IF(E12="", G12, E12 &amp; "." &amp; 3)</f>
        <v>2.3</v>
      </c>
      <c r="H14" s="43"/>
      <c r="I14" s="33"/>
      <c r="J14" s="29"/>
      <c r="K14" s="29"/>
      <c r="L14" s="35"/>
      <c r="M14" s="35"/>
      <c r="N14" s="35"/>
      <c r="O14" s="139" t="str">
        <f t="shared" si="0"/>
        <v/>
      </c>
      <c r="P14" s="52" t="str">
        <f t="shared" si="1"/>
        <v/>
      </c>
      <c r="V14" s="165"/>
    </row>
    <row r="15" spans="1:22" x14ac:dyDescent="0.25">
      <c r="A15" s="159"/>
      <c r="B15" s="160"/>
      <c r="C15" s="33"/>
      <c r="D15" s="61"/>
      <c r="E15" s="171"/>
      <c r="F15" s="172"/>
      <c r="G15" s="30" t="str">
        <f>IF(E12="", G12, E12 &amp; "." &amp; 4)</f>
        <v>2.4</v>
      </c>
      <c r="H15" s="43"/>
      <c r="I15" s="33"/>
      <c r="J15" s="29"/>
      <c r="K15" s="29"/>
      <c r="L15" s="35"/>
      <c r="M15" s="35"/>
      <c r="N15" s="35"/>
      <c r="O15" s="139" t="str">
        <f t="shared" si="0"/>
        <v/>
      </c>
      <c r="P15" s="52" t="str">
        <f t="shared" si="1"/>
        <v/>
      </c>
      <c r="V15" s="165"/>
    </row>
    <row r="16" spans="1:22" x14ac:dyDescent="0.25">
      <c r="A16" s="159"/>
      <c r="B16" s="160"/>
      <c r="C16" s="33"/>
      <c r="D16" s="40"/>
      <c r="E16" s="170">
        <v>3</v>
      </c>
      <c r="F16" s="170"/>
      <c r="G16" s="30" t="str">
        <f>IF(E16="", G16, E16 &amp; "." &amp; 1)</f>
        <v>3.1</v>
      </c>
      <c r="H16" s="43"/>
      <c r="I16" s="33"/>
      <c r="J16" s="29"/>
      <c r="K16" s="29"/>
      <c r="L16" s="35"/>
      <c r="M16" s="35"/>
      <c r="N16" s="35"/>
      <c r="O16" s="139" t="str">
        <f t="shared" si="0"/>
        <v/>
      </c>
      <c r="P16" s="52" t="str">
        <f t="shared" si="1"/>
        <v/>
      </c>
    </row>
    <row r="17" spans="1:16" x14ac:dyDescent="0.25">
      <c r="A17" s="159"/>
      <c r="B17" s="160"/>
      <c r="C17" s="33"/>
      <c r="D17" s="61"/>
      <c r="E17" s="171"/>
      <c r="F17" s="171"/>
      <c r="G17" s="30" t="str">
        <f>IF(E16="", G16, E16 &amp; "." &amp; 2)</f>
        <v>3.2</v>
      </c>
      <c r="H17" s="43"/>
      <c r="I17" s="33"/>
      <c r="J17" s="29"/>
      <c r="K17" s="29"/>
      <c r="L17" s="35"/>
      <c r="M17" s="35"/>
      <c r="N17" s="35"/>
      <c r="O17" s="139" t="str">
        <f t="shared" si="0"/>
        <v/>
      </c>
      <c r="P17" s="52" t="str">
        <f t="shared" si="1"/>
        <v/>
      </c>
    </row>
    <row r="18" spans="1:16" x14ac:dyDescent="0.25">
      <c r="A18" s="159"/>
      <c r="B18" s="160"/>
      <c r="C18" s="33"/>
      <c r="D18" s="61"/>
      <c r="E18" s="171"/>
      <c r="F18" s="171"/>
      <c r="G18" s="30" t="str">
        <f>IF(E16="", G16, E16 &amp; "." &amp; 3)</f>
        <v>3.3</v>
      </c>
      <c r="H18" s="43"/>
      <c r="I18" s="33"/>
      <c r="J18" s="29"/>
      <c r="K18" s="29"/>
      <c r="L18" s="35"/>
      <c r="M18" s="35"/>
      <c r="N18" s="35"/>
      <c r="O18" s="139" t="str">
        <f t="shared" si="0"/>
        <v/>
      </c>
      <c r="P18" s="52" t="str">
        <f t="shared" si="1"/>
        <v/>
      </c>
    </row>
    <row r="19" spans="1:16" x14ac:dyDescent="0.25">
      <c r="A19" s="159"/>
      <c r="B19" s="160"/>
      <c r="C19" s="33"/>
      <c r="D19" s="61"/>
      <c r="E19" s="171"/>
      <c r="F19" s="172"/>
      <c r="G19" s="30" t="str">
        <f>IF(E16="", G16, E16 &amp; "." &amp; 4)</f>
        <v>3.4</v>
      </c>
      <c r="H19" s="43"/>
      <c r="I19" s="33"/>
      <c r="J19" s="29"/>
      <c r="K19" s="29"/>
      <c r="L19" s="35"/>
      <c r="M19" s="35"/>
      <c r="N19" s="35"/>
      <c r="O19" s="139" t="str">
        <f t="shared" si="0"/>
        <v/>
      </c>
      <c r="P19" s="52" t="str">
        <f t="shared" si="1"/>
        <v/>
      </c>
    </row>
    <row r="20" spans="1:16" x14ac:dyDescent="0.25">
      <c r="A20" s="159"/>
      <c r="B20" s="160"/>
      <c r="C20" s="33"/>
      <c r="D20" s="40"/>
      <c r="E20" s="170">
        <v>4</v>
      </c>
      <c r="F20" s="170"/>
      <c r="G20" s="30" t="str">
        <f>IF(E20="", G20, E20 &amp; "." &amp; 1)</f>
        <v>4.1</v>
      </c>
      <c r="H20" s="43"/>
      <c r="I20" s="33"/>
      <c r="J20" s="29"/>
      <c r="K20" s="29"/>
      <c r="L20" s="35"/>
      <c r="M20" s="35"/>
      <c r="N20" s="35"/>
      <c r="O20" s="139" t="str">
        <f t="shared" si="0"/>
        <v/>
      </c>
      <c r="P20" s="52" t="str">
        <f t="shared" si="1"/>
        <v/>
      </c>
    </row>
    <row r="21" spans="1:16" x14ac:dyDescent="0.25">
      <c r="A21" s="159"/>
      <c r="B21" s="160"/>
      <c r="C21" s="33"/>
      <c r="D21" s="61"/>
      <c r="E21" s="171"/>
      <c r="F21" s="171"/>
      <c r="G21" s="30" t="str">
        <f>IF(E20="", G20, E20 &amp; "." &amp; 2)</f>
        <v>4.2</v>
      </c>
      <c r="H21"/>
      <c r="I21" s="33"/>
      <c r="J21" s="29"/>
      <c r="K21" s="29"/>
      <c r="L21" s="35"/>
      <c r="M21" s="35"/>
      <c r="N21" s="35"/>
      <c r="O21" s="139" t="str">
        <f t="shared" si="0"/>
        <v/>
      </c>
      <c r="P21" s="52" t="str">
        <f t="shared" si="1"/>
        <v/>
      </c>
    </row>
    <row r="22" spans="1:16" x14ac:dyDescent="0.25">
      <c r="A22" s="159"/>
      <c r="B22" s="160"/>
      <c r="C22" s="33"/>
      <c r="D22" s="61"/>
      <c r="E22" s="171"/>
      <c r="F22" s="171"/>
      <c r="G22" s="30" t="str">
        <f>IF(E20="", G20, E20 &amp; "." &amp; 3)</f>
        <v>4.3</v>
      </c>
      <c r="H22" s="43"/>
      <c r="I22" s="33"/>
      <c r="J22" s="29"/>
      <c r="K22" s="29"/>
      <c r="L22" s="35"/>
      <c r="M22" s="35"/>
      <c r="N22" s="35"/>
      <c r="O22" s="139" t="str">
        <f t="shared" si="0"/>
        <v/>
      </c>
      <c r="P22" s="52" t="str">
        <f t="shared" si="1"/>
        <v/>
      </c>
    </row>
    <row r="23" spans="1:16" x14ac:dyDescent="0.25">
      <c r="A23" s="159"/>
      <c r="B23" s="160"/>
      <c r="C23" s="33"/>
      <c r="D23" s="61"/>
      <c r="E23" s="171"/>
      <c r="F23" s="172"/>
      <c r="G23" s="30" t="str">
        <f>IF(E20="", G20, E20 &amp; "." &amp; 4)</f>
        <v>4.4</v>
      </c>
      <c r="H23" s="43"/>
      <c r="I23" s="33"/>
      <c r="J23" s="29"/>
      <c r="K23" s="29"/>
      <c r="L23" s="35"/>
      <c r="M23" s="35"/>
      <c r="N23" s="35"/>
      <c r="O23" s="139" t="str">
        <f t="shared" si="0"/>
        <v/>
      </c>
      <c r="P23" s="52" t="str">
        <f t="shared" si="1"/>
        <v/>
      </c>
    </row>
    <row r="24" spans="1:16" x14ac:dyDescent="0.25">
      <c r="A24" s="159"/>
      <c r="B24" s="160"/>
      <c r="C24" s="33"/>
      <c r="D24" s="40"/>
      <c r="E24" s="170">
        <v>5</v>
      </c>
      <c r="F24" s="170"/>
      <c r="G24" s="30" t="str">
        <f>IF(E24="", G24, E24 &amp; "." &amp; 1)</f>
        <v>5.1</v>
      </c>
      <c r="H24" s="43"/>
      <c r="I24" s="33"/>
      <c r="J24" s="29"/>
      <c r="K24" s="29"/>
      <c r="L24" s="35"/>
      <c r="M24" s="35"/>
      <c r="N24" s="35"/>
      <c r="O24" s="139" t="str">
        <f t="shared" si="0"/>
        <v/>
      </c>
      <c r="P24" s="52" t="str">
        <f t="shared" si="1"/>
        <v/>
      </c>
    </row>
    <row r="25" spans="1:16" x14ac:dyDescent="0.25">
      <c r="A25" s="159"/>
      <c r="B25" s="160"/>
      <c r="C25" s="33"/>
      <c r="D25" s="61"/>
      <c r="E25" s="171"/>
      <c r="F25" s="171"/>
      <c r="G25" s="30" t="str">
        <f>IF(E24="", G24, E24 &amp; "." &amp; 2)</f>
        <v>5.2</v>
      </c>
      <c r="H25" s="43"/>
      <c r="I25" s="33"/>
      <c r="J25" s="29"/>
      <c r="K25" s="29"/>
      <c r="L25" s="35"/>
      <c r="M25" s="35"/>
      <c r="N25" s="35"/>
      <c r="O25" s="139" t="str">
        <f t="shared" si="0"/>
        <v/>
      </c>
      <c r="P25" s="52" t="str">
        <f t="shared" si="1"/>
        <v/>
      </c>
    </row>
    <row r="26" spans="1:16" x14ac:dyDescent="0.25">
      <c r="A26" s="159"/>
      <c r="B26" s="160"/>
      <c r="C26" s="33"/>
      <c r="D26" s="61"/>
      <c r="E26" s="171"/>
      <c r="F26" s="171"/>
      <c r="G26" s="30" t="str">
        <f>IF(E24="", G24, E24 &amp; "." &amp; 3)</f>
        <v>5.3</v>
      </c>
      <c r="H26" s="43"/>
      <c r="I26" s="33"/>
      <c r="J26" s="29"/>
      <c r="K26" s="29"/>
      <c r="L26" s="35"/>
      <c r="M26" s="35"/>
      <c r="N26" s="35"/>
      <c r="O26" s="139" t="str">
        <f t="shared" si="0"/>
        <v/>
      </c>
      <c r="P26" s="52" t="str">
        <f t="shared" si="1"/>
        <v/>
      </c>
    </row>
    <row r="27" spans="1:16" x14ac:dyDescent="0.25">
      <c r="A27" s="159"/>
      <c r="B27" s="160"/>
      <c r="C27" s="33"/>
      <c r="D27" s="61"/>
      <c r="E27" s="171"/>
      <c r="F27" s="172"/>
      <c r="G27" s="30" t="str">
        <f>IF(E24="", G24, E24 &amp; "." &amp; 4)</f>
        <v>5.4</v>
      </c>
      <c r="H27" s="43"/>
      <c r="I27" s="33"/>
      <c r="J27" s="29"/>
      <c r="K27" s="29"/>
      <c r="L27" s="35"/>
      <c r="M27" s="35"/>
      <c r="N27" s="35"/>
      <c r="O27" s="139" t="str">
        <f t="shared" si="0"/>
        <v/>
      </c>
      <c r="P27" s="52" t="str">
        <f t="shared" si="1"/>
        <v/>
      </c>
    </row>
    <row r="28" spans="1:16" x14ac:dyDescent="0.25">
      <c r="A28" s="159"/>
      <c r="B28" s="160"/>
      <c r="C28" s="33"/>
      <c r="D28" s="40"/>
      <c r="E28" s="170">
        <v>6</v>
      </c>
      <c r="F28" s="136"/>
      <c r="G28" s="30" t="str">
        <f>IF(E28="", G28, E28 &amp; "." &amp; 1)</f>
        <v>6.1</v>
      </c>
      <c r="H28" s="43"/>
      <c r="I28" s="33"/>
      <c r="J28" s="29"/>
      <c r="K28" s="29"/>
      <c r="L28" s="35"/>
      <c r="M28" s="35"/>
      <c r="N28" s="35"/>
      <c r="O28" s="139" t="str">
        <f t="shared" si="0"/>
        <v/>
      </c>
      <c r="P28" s="52" t="str">
        <f t="shared" si="1"/>
        <v/>
      </c>
    </row>
    <row r="29" spans="1:16" x14ac:dyDescent="0.25">
      <c r="A29" s="159"/>
      <c r="B29" s="160"/>
      <c r="C29" s="33"/>
      <c r="D29" s="61"/>
      <c r="E29" s="171"/>
      <c r="F29" s="137"/>
      <c r="G29" s="30" t="str">
        <f>IF(E28="", G28, E28 &amp; "." &amp; 2)</f>
        <v>6.2</v>
      </c>
      <c r="H29" s="43"/>
      <c r="I29" s="33"/>
      <c r="J29" s="29"/>
      <c r="K29" s="29"/>
      <c r="L29" s="35"/>
      <c r="M29" s="35"/>
      <c r="N29" s="35"/>
      <c r="O29" s="139" t="str">
        <f t="shared" si="0"/>
        <v/>
      </c>
      <c r="P29" s="52" t="str">
        <f t="shared" si="1"/>
        <v/>
      </c>
    </row>
    <row r="30" spans="1:16" x14ac:dyDescent="0.25">
      <c r="A30" s="159"/>
      <c r="B30" s="160"/>
      <c r="C30" s="33"/>
      <c r="D30" s="61"/>
      <c r="E30" s="171"/>
      <c r="F30" s="137"/>
      <c r="G30" s="30" t="str">
        <f>IF(E28="", G28, E28 &amp; "." &amp; 3)</f>
        <v>6.3</v>
      </c>
      <c r="H30" s="43"/>
      <c r="I30" s="33"/>
      <c r="J30" s="29"/>
      <c r="K30" s="29"/>
      <c r="L30" s="35"/>
      <c r="M30" s="35"/>
      <c r="N30" s="35"/>
      <c r="O30" s="139" t="str">
        <f t="shared" si="0"/>
        <v/>
      </c>
      <c r="P30" s="52" t="str">
        <f t="shared" si="1"/>
        <v/>
      </c>
    </row>
    <row r="31" spans="1:16" x14ac:dyDescent="0.25">
      <c r="A31" s="159"/>
      <c r="B31" s="160"/>
      <c r="C31" s="33"/>
      <c r="D31" s="61"/>
      <c r="E31" s="171"/>
      <c r="F31" s="138"/>
      <c r="G31" s="30" t="str">
        <f>IF(E28="", G28, E28 &amp; "." &amp; 4)</f>
        <v>6.4</v>
      </c>
      <c r="H31" s="43"/>
      <c r="I31" s="33"/>
      <c r="J31" s="29"/>
      <c r="K31" s="29"/>
      <c r="L31" s="35"/>
      <c r="M31" s="35"/>
      <c r="N31" s="35"/>
      <c r="O31" s="139" t="str">
        <f t="shared" si="0"/>
        <v/>
      </c>
      <c r="P31" s="52" t="str">
        <f t="shared" si="1"/>
        <v/>
      </c>
    </row>
    <row r="32" spans="1:16" x14ac:dyDescent="0.25">
      <c r="A32" s="159"/>
      <c r="B32" s="160"/>
      <c r="C32" s="33"/>
      <c r="D32" s="40"/>
      <c r="E32" s="170">
        <v>7</v>
      </c>
      <c r="F32" s="170"/>
      <c r="G32" s="30" t="str">
        <f>IF(E32="", G32, E32 &amp; "." &amp; 1)</f>
        <v>7.1</v>
      </c>
      <c r="H32" s="43"/>
      <c r="I32" s="33"/>
      <c r="J32" s="29"/>
      <c r="K32" s="29"/>
      <c r="L32" s="35"/>
      <c r="M32" s="35"/>
      <c r="N32" s="35"/>
      <c r="O32" s="139" t="str">
        <f t="shared" si="0"/>
        <v/>
      </c>
      <c r="P32" s="52" t="str">
        <f t="shared" si="1"/>
        <v/>
      </c>
    </row>
    <row r="33" spans="1:16" x14ac:dyDescent="0.25">
      <c r="A33" s="159"/>
      <c r="B33" s="160"/>
      <c r="C33" s="33"/>
      <c r="D33" s="61"/>
      <c r="E33" s="171"/>
      <c r="F33" s="171"/>
      <c r="G33" s="30" t="str">
        <f>IF(E32="", G32, E32 &amp; "." &amp; 2)</f>
        <v>7.2</v>
      </c>
      <c r="H33" s="43"/>
      <c r="I33" s="33"/>
      <c r="J33" s="29"/>
      <c r="K33" s="29"/>
      <c r="L33" s="35"/>
      <c r="M33" s="35"/>
      <c r="N33" s="35"/>
      <c r="O33" s="139" t="str">
        <f t="shared" si="0"/>
        <v/>
      </c>
      <c r="P33" s="52" t="str">
        <f t="shared" si="1"/>
        <v/>
      </c>
    </row>
    <row r="34" spans="1:16" x14ac:dyDescent="0.25">
      <c r="A34" s="159"/>
      <c r="B34" s="160"/>
      <c r="C34" s="33"/>
      <c r="D34" s="61"/>
      <c r="E34" s="171"/>
      <c r="F34" s="171"/>
      <c r="G34" s="30" t="str">
        <f>IF(E32="", G32, E32 &amp; "." &amp; 3)</f>
        <v>7.3</v>
      </c>
      <c r="H34" s="43"/>
      <c r="I34" s="33"/>
      <c r="J34" s="29"/>
      <c r="K34" s="29"/>
      <c r="L34" s="35"/>
      <c r="M34" s="35"/>
      <c r="N34" s="35"/>
      <c r="O34" s="139" t="str">
        <f t="shared" si="0"/>
        <v/>
      </c>
      <c r="P34" s="52" t="str">
        <f t="shared" si="1"/>
        <v/>
      </c>
    </row>
    <row r="35" spans="1:16" x14ac:dyDescent="0.25">
      <c r="A35" s="159"/>
      <c r="B35" s="160"/>
      <c r="C35" s="33"/>
      <c r="D35" s="61"/>
      <c r="E35" s="171"/>
      <c r="F35" s="172"/>
      <c r="G35" s="30" t="str">
        <f>IF(E32="", G32, E32 &amp; "." &amp; 4)</f>
        <v>7.4</v>
      </c>
      <c r="H35" s="43"/>
      <c r="I35" s="33"/>
      <c r="J35" s="29"/>
      <c r="K35" s="29"/>
      <c r="L35" s="35"/>
      <c r="M35" s="35"/>
      <c r="N35" s="35"/>
      <c r="O35" s="139" t="str">
        <f t="shared" si="0"/>
        <v/>
      </c>
      <c r="P35" s="52" t="str">
        <f t="shared" si="1"/>
        <v/>
      </c>
    </row>
    <row r="36" spans="1:16" x14ac:dyDescent="0.25">
      <c r="A36" s="159"/>
      <c r="B36" s="160"/>
      <c r="C36" s="33"/>
      <c r="D36" s="40"/>
      <c r="E36" s="170">
        <v>8</v>
      </c>
      <c r="F36" s="170"/>
      <c r="G36" s="30" t="str">
        <f>IF(E36="", G36, E36 &amp; "." &amp; 1)</f>
        <v>8.1</v>
      </c>
      <c r="H36" s="43"/>
      <c r="I36" s="33"/>
      <c r="J36" s="29"/>
      <c r="K36" s="29"/>
      <c r="L36" s="35"/>
      <c r="M36" s="35"/>
      <c r="N36" s="35"/>
      <c r="O36" s="139" t="str">
        <f t="shared" si="0"/>
        <v/>
      </c>
      <c r="P36" s="52" t="str">
        <f t="shared" si="1"/>
        <v/>
      </c>
    </row>
    <row r="37" spans="1:16" x14ac:dyDescent="0.25">
      <c r="A37" s="159"/>
      <c r="B37" s="160"/>
      <c r="C37" s="33"/>
      <c r="D37" s="61"/>
      <c r="E37" s="171"/>
      <c r="F37" s="171"/>
      <c r="G37" s="30" t="str">
        <f>IF(E36="", G36, E36 &amp; "." &amp; 2)</f>
        <v>8.2</v>
      </c>
      <c r="H37" s="43"/>
      <c r="I37" s="33"/>
      <c r="J37" s="29"/>
      <c r="K37" s="29"/>
      <c r="L37" s="35"/>
      <c r="M37" s="35"/>
      <c r="N37" s="35"/>
      <c r="O37" s="139" t="str">
        <f t="shared" si="0"/>
        <v/>
      </c>
      <c r="P37" s="52" t="str">
        <f t="shared" si="1"/>
        <v/>
      </c>
    </row>
    <row r="38" spans="1:16" x14ac:dyDescent="0.25">
      <c r="A38" s="159"/>
      <c r="B38" s="160"/>
      <c r="C38" s="33"/>
      <c r="D38" s="61"/>
      <c r="E38" s="171"/>
      <c r="F38" s="171"/>
      <c r="G38" s="30" t="str">
        <f>IF(E36="", G36, E36 &amp; "." &amp; 3)</f>
        <v>8.3</v>
      </c>
      <c r="H38" s="43"/>
      <c r="I38" s="33"/>
      <c r="J38" s="29"/>
      <c r="K38" s="29"/>
      <c r="L38" s="35"/>
      <c r="M38" s="35"/>
      <c r="N38" s="35"/>
      <c r="O38" s="139" t="str">
        <f t="shared" si="0"/>
        <v/>
      </c>
      <c r="P38" s="52" t="str">
        <f t="shared" si="1"/>
        <v/>
      </c>
    </row>
    <row r="39" spans="1:16" x14ac:dyDescent="0.25">
      <c r="A39" s="159"/>
      <c r="B39" s="160"/>
      <c r="C39" s="33"/>
      <c r="D39" s="61"/>
      <c r="E39" s="171"/>
      <c r="F39" s="172"/>
      <c r="G39" s="30" t="str">
        <f>IF(E36="", G36, E36 &amp; "." &amp; 4)</f>
        <v>8.4</v>
      </c>
      <c r="H39" s="43"/>
      <c r="I39" s="33"/>
      <c r="J39" s="29"/>
      <c r="K39" s="29"/>
      <c r="L39" s="35"/>
      <c r="M39" s="35"/>
      <c r="N39" s="35"/>
      <c r="O39" s="139" t="str">
        <f t="shared" si="0"/>
        <v/>
      </c>
      <c r="P39" s="52" t="str">
        <f t="shared" si="1"/>
        <v/>
      </c>
    </row>
    <row r="40" spans="1:16" x14ac:dyDescent="0.25">
      <c r="A40" s="159"/>
      <c r="B40" s="160"/>
      <c r="C40" s="33"/>
      <c r="D40" s="40"/>
      <c r="E40" s="170">
        <v>9</v>
      </c>
      <c r="F40" s="170"/>
      <c r="G40" s="30" t="str">
        <f>IF(E40="", G40, E40 &amp; "." &amp; 1)</f>
        <v>9.1</v>
      </c>
      <c r="H40" s="43"/>
      <c r="I40" s="33"/>
      <c r="J40" s="29"/>
      <c r="K40" s="29"/>
      <c r="L40" s="35"/>
      <c r="M40" s="35"/>
      <c r="N40" s="35"/>
      <c r="O40" s="139" t="str">
        <f t="shared" si="0"/>
        <v/>
      </c>
      <c r="P40" s="52" t="str">
        <f t="shared" si="1"/>
        <v/>
      </c>
    </row>
    <row r="41" spans="1:16" x14ac:dyDescent="0.25">
      <c r="A41" s="159"/>
      <c r="B41" s="160"/>
      <c r="C41" s="33"/>
      <c r="D41" s="61"/>
      <c r="E41" s="171"/>
      <c r="F41" s="171"/>
      <c r="G41" s="30" t="str">
        <f>IF(E40="", G40, E40 &amp; "." &amp; 2)</f>
        <v>9.2</v>
      </c>
      <c r="H41" s="43"/>
      <c r="I41" s="33"/>
      <c r="J41" s="29"/>
      <c r="K41" s="29"/>
      <c r="L41" s="35"/>
      <c r="M41" s="35"/>
      <c r="N41" s="35"/>
      <c r="O41" s="139" t="str">
        <f t="shared" si="0"/>
        <v/>
      </c>
      <c r="P41" s="52" t="str">
        <f t="shared" si="1"/>
        <v/>
      </c>
    </row>
    <row r="42" spans="1:16" x14ac:dyDescent="0.25">
      <c r="A42" s="159"/>
      <c r="B42" s="160"/>
      <c r="C42" s="33"/>
      <c r="D42" s="61"/>
      <c r="E42" s="171"/>
      <c r="F42" s="171"/>
      <c r="G42" s="30" t="str">
        <f>IF(E40="", G40, E40 &amp; "." &amp; 3)</f>
        <v>9.3</v>
      </c>
      <c r="H42" s="43"/>
      <c r="I42" s="33"/>
      <c r="J42" s="29"/>
      <c r="K42" s="29"/>
      <c r="L42" s="35"/>
      <c r="M42" s="35"/>
      <c r="N42" s="35"/>
      <c r="O42" s="139" t="str">
        <f t="shared" si="0"/>
        <v/>
      </c>
      <c r="P42" s="52" t="str">
        <f t="shared" si="1"/>
        <v/>
      </c>
    </row>
    <row r="43" spans="1:16" x14ac:dyDescent="0.25">
      <c r="A43" s="159"/>
      <c r="B43" s="160"/>
      <c r="C43" s="33"/>
      <c r="D43" s="61"/>
      <c r="E43" s="171"/>
      <c r="F43" s="172"/>
      <c r="G43" s="30" t="str">
        <f>IF(E40="", G40, E40 &amp; "." &amp; 4)</f>
        <v>9.4</v>
      </c>
      <c r="H43" s="43"/>
      <c r="I43" s="33"/>
      <c r="J43" s="29"/>
      <c r="K43" s="29"/>
      <c r="L43" s="35"/>
      <c r="M43" s="35"/>
      <c r="N43" s="35"/>
      <c r="O43" s="139" t="str">
        <f t="shared" si="0"/>
        <v/>
      </c>
      <c r="P43" s="52" t="str">
        <f t="shared" si="1"/>
        <v/>
      </c>
    </row>
    <row r="44" spans="1:16" x14ac:dyDescent="0.25">
      <c r="A44" s="159"/>
      <c r="B44" s="160"/>
      <c r="C44" s="33"/>
      <c r="D44" s="40"/>
      <c r="E44" s="170">
        <v>10</v>
      </c>
      <c r="F44" s="170"/>
      <c r="G44" s="30" t="str">
        <f>IF(E44="", G44, E44 &amp; "." &amp; 1)</f>
        <v>10.1</v>
      </c>
      <c r="H44" s="43"/>
      <c r="I44" s="33"/>
      <c r="J44" s="29"/>
      <c r="K44" s="29"/>
      <c r="L44" s="35"/>
      <c r="M44" s="35"/>
      <c r="N44" s="35"/>
      <c r="O44" s="139" t="str">
        <f t="shared" si="0"/>
        <v/>
      </c>
      <c r="P44" s="52" t="str">
        <f t="shared" si="1"/>
        <v/>
      </c>
    </row>
    <row r="45" spans="1:16" x14ac:dyDescent="0.25">
      <c r="A45" s="159"/>
      <c r="B45" s="160"/>
      <c r="C45" s="33"/>
      <c r="D45" s="61"/>
      <c r="E45" s="171"/>
      <c r="F45" s="171"/>
      <c r="G45" s="30" t="str">
        <f>IF(E44="", G44, E44 &amp; "." &amp; 2)</f>
        <v>10.2</v>
      </c>
      <c r="H45" s="43"/>
      <c r="I45" s="33"/>
      <c r="J45" s="29"/>
      <c r="K45" s="29"/>
      <c r="L45" s="35"/>
      <c r="M45" s="35"/>
      <c r="N45" s="35"/>
      <c r="O45" s="139" t="str">
        <f t="shared" si="0"/>
        <v/>
      </c>
      <c r="P45" s="52" t="str">
        <f t="shared" si="1"/>
        <v/>
      </c>
    </row>
    <row r="46" spans="1:16" x14ac:dyDescent="0.25">
      <c r="A46" s="159"/>
      <c r="B46" s="160"/>
      <c r="C46" s="33"/>
      <c r="D46" s="61"/>
      <c r="E46" s="171"/>
      <c r="F46" s="171"/>
      <c r="G46" s="30" t="str">
        <f>IF(E44="", G44, E44 &amp; "." &amp; 3)</f>
        <v>10.3</v>
      </c>
      <c r="H46" s="43"/>
      <c r="I46" s="33"/>
      <c r="J46" s="29"/>
      <c r="K46" s="29"/>
      <c r="L46" s="35"/>
      <c r="M46" s="35"/>
      <c r="N46" s="35"/>
      <c r="O46" s="139" t="str">
        <f t="shared" si="0"/>
        <v/>
      </c>
      <c r="P46" s="52" t="str">
        <f t="shared" si="1"/>
        <v/>
      </c>
    </row>
    <row r="47" spans="1:16" x14ac:dyDescent="0.25">
      <c r="A47" s="159"/>
      <c r="B47" s="160"/>
      <c r="C47" s="33"/>
      <c r="D47" s="61"/>
      <c r="E47" s="171"/>
      <c r="F47" s="172"/>
      <c r="G47" s="30" t="str">
        <f>IF(E44="", G44, E44 &amp; "." &amp; 4)</f>
        <v>10.4</v>
      </c>
      <c r="H47" s="43"/>
      <c r="I47" s="33"/>
      <c r="J47" s="29"/>
      <c r="K47" s="29"/>
      <c r="L47" s="35"/>
      <c r="M47" s="35"/>
      <c r="N47" s="35"/>
      <c r="O47" s="139" t="str">
        <f t="shared" si="0"/>
        <v/>
      </c>
      <c r="P47" s="52" t="str">
        <f t="shared" si="1"/>
        <v/>
      </c>
    </row>
    <row r="48" spans="1:16" x14ac:dyDescent="0.25">
      <c r="A48" s="159"/>
      <c r="B48" s="160"/>
      <c r="C48" s="33"/>
      <c r="D48" s="40"/>
      <c r="E48" s="170">
        <v>11</v>
      </c>
      <c r="F48" s="170"/>
      <c r="G48" s="30" t="str">
        <f>IF(E48="", G48, E48 &amp; "." &amp; 1)</f>
        <v>11.1</v>
      </c>
      <c r="H48" s="43"/>
      <c r="I48" s="33"/>
      <c r="J48" s="29"/>
      <c r="K48" s="29"/>
      <c r="L48" s="35"/>
      <c r="M48" s="35"/>
      <c r="N48" s="35"/>
      <c r="O48" s="139" t="str">
        <f t="shared" si="0"/>
        <v/>
      </c>
      <c r="P48" s="52" t="str">
        <f t="shared" si="1"/>
        <v/>
      </c>
    </row>
    <row r="49" spans="1:16" x14ac:dyDescent="0.25">
      <c r="A49" s="159"/>
      <c r="B49" s="160"/>
      <c r="C49" s="33"/>
      <c r="D49" s="61"/>
      <c r="E49" s="171"/>
      <c r="F49" s="171"/>
      <c r="G49" s="30" t="str">
        <f>IF(E48="", G48, E48 &amp; "." &amp; 2)</f>
        <v>11.2</v>
      </c>
      <c r="H49" s="43"/>
      <c r="I49" s="33"/>
      <c r="J49" s="29"/>
      <c r="K49" s="29"/>
      <c r="L49" s="35"/>
      <c r="M49" s="35"/>
      <c r="N49" s="35"/>
      <c r="O49" s="139" t="str">
        <f t="shared" si="0"/>
        <v/>
      </c>
      <c r="P49" s="52" t="str">
        <f t="shared" si="1"/>
        <v/>
      </c>
    </row>
    <row r="50" spans="1:16" x14ac:dyDescent="0.25">
      <c r="A50" s="159"/>
      <c r="B50" s="160"/>
      <c r="C50" s="33"/>
      <c r="D50" s="61"/>
      <c r="E50" s="171"/>
      <c r="F50" s="171"/>
      <c r="G50" s="30" t="str">
        <f>IF(E48="", G48, E48 &amp; "." &amp; 3)</f>
        <v>11.3</v>
      </c>
      <c r="H50" s="43"/>
      <c r="I50" s="33"/>
      <c r="J50" s="29"/>
      <c r="K50" s="29"/>
      <c r="L50" s="35"/>
      <c r="M50" s="35"/>
      <c r="N50" s="35"/>
      <c r="O50" s="139" t="str">
        <f t="shared" si="0"/>
        <v/>
      </c>
      <c r="P50" s="52" t="str">
        <f t="shared" si="1"/>
        <v/>
      </c>
    </row>
    <row r="51" spans="1:16" x14ac:dyDescent="0.25">
      <c r="A51" s="159"/>
      <c r="B51" s="160"/>
      <c r="C51" s="33"/>
      <c r="D51" s="61"/>
      <c r="E51" s="171"/>
      <c r="F51" s="172"/>
      <c r="G51" s="30" t="str">
        <f>IF(E48="", G48, E48 &amp; "." &amp; 4)</f>
        <v>11.4</v>
      </c>
      <c r="H51" s="43"/>
      <c r="I51" s="33"/>
      <c r="J51" s="29"/>
      <c r="K51" s="29"/>
      <c r="L51" s="35"/>
      <c r="M51" s="35"/>
      <c r="N51" s="35"/>
      <c r="O51" s="139" t="str">
        <f t="shared" si="0"/>
        <v/>
      </c>
      <c r="P51" s="52" t="str">
        <f t="shared" si="1"/>
        <v/>
      </c>
    </row>
    <row r="52" spans="1:16" x14ac:dyDescent="0.25">
      <c r="A52" s="159"/>
      <c r="B52" s="160"/>
      <c r="C52" s="33"/>
      <c r="D52" s="40"/>
      <c r="E52" s="170">
        <v>12</v>
      </c>
      <c r="F52" s="170"/>
      <c r="G52" s="30" t="str">
        <f>IF(E52="", G52, E52 &amp; "." &amp; 1)</f>
        <v>12.1</v>
      </c>
      <c r="H52" s="43"/>
      <c r="I52" s="33"/>
      <c r="J52" s="29"/>
      <c r="K52" s="29"/>
      <c r="L52" s="35"/>
      <c r="M52" s="35"/>
      <c r="N52" s="35"/>
      <c r="O52" s="139" t="str">
        <f t="shared" si="0"/>
        <v/>
      </c>
      <c r="P52" s="52" t="str">
        <f t="shared" si="1"/>
        <v/>
      </c>
    </row>
    <row r="53" spans="1:16" x14ac:dyDescent="0.25">
      <c r="A53" s="159"/>
      <c r="B53" s="160"/>
      <c r="C53" s="33"/>
      <c r="D53" s="61"/>
      <c r="E53" s="171"/>
      <c r="F53" s="171"/>
      <c r="G53" s="30" t="str">
        <f>IF(E52="", G52, E52 &amp; "." &amp; 2)</f>
        <v>12.2</v>
      </c>
      <c r="H53" s="43"/>
      <c r="I53" s="33"/>
      <c r="J53" s="29"/>
      <c r="K53" s="29"/>
      <c r="L53" s="35"/>
      <c r="M53" s="35"/>
      <c r="N53" s="35"/>
      <c r="O53" s="139" t="str">
        <f t="shared" si="0"/>
        <v/>
      </c>
      <c r="P53" s="52" t="str">
        <f t="shared" si="1"/>
        <v/>
      </c>
    </row>
    <row r="54" spans="1:16" x14ac:dyDescent="0.25">
      <c r="A54" s="159"/>
      <c r="B54" s="160"/>
      <c r="C54" s="33"/>
      <c r="D54" s="61"/>
      <c r="E54" s="171"/>
      <c r="F54" s="171"/>
      <c r="G54" s="30" t="str">
        <f>IF(E52="", G52, E52 &amp; "." &amp; 3)</f>
        <v>12.3</v>
      </c>
      <c r="H54" s="43"/>
      <c r="I54" s="33"/>
      <c r="J54" s="29"/>
      <c r="K54" s="29"/>
      <c r="L54" s="35"/>
      <c r="M54" s="35"/>
      <c r="N54" s="35"/>
      <c r="O54" s="139" t="str">
        <f t="shared" si="0"/>
        <v/>
      </c>
      <c r="P54" s="52" t="str">
        <f t="shared" si="1"/>
        <v/>
      </c>
    </row>
    <row r="55" spans="1:16" x14ac:dyDescent="0.25">
      <c r="A55" s="159"/>
      <c r="B55" s="160"/>
      <c r="C55" s="33"/>
      <c r="D55" s="61"/>
      <c r="E55" s="171"/>
      <c r="F55" s="172"/>
      <c r="G55" s="30" t="str">
        <f>IF(E52="", G52, E52 &amp; "." &amp; 4)</f>
        <v>12.4</v>
      </c>
      <c r="H55" s="43"/>
      <c r="I55" s="33"/>
      <c r="J55" s="29"/>
      <c r="K55" s="29"/>
      <c r="L55" s="35"/>
      <c r="M55" s="35"/>
      <c r="N55" s="35"/>
      <c r="O55" s="139" t="str">
        <f t="shared" si="0"/>
        <v/>
      </c>
      <c r="P55" s="52" t="str">
        <f t="shared" si="1"/>
        <v/>
      </c>
    </row>
    <row r="56" spans="1:16" x14ac:dyDescent="0.25">
      <c r="A56" s="159"/>
      <c r="B56" s="160"/>
      <c r="C56" s="33"/>
      <c r="D56" s="40"/>
      <c r="E56" s="170">
        <v>13</v>
      </c>
      <c r="F56" s="170"/>
      <c r="G56" s="30" t="str">
        <f>IF(E56="", G56, E56 &amp; "." &amp; 1)</f>
        <v>13.1</v>
      </c>
      <c r="H56" s="43"/>
      <c r="I56" s="33"/>
      <c r="J56" s="29"/>
      <c r="K56" s="29"/>
      <c r="L56" s="35"/>
      <c r="M56" s="35"/>
      <c r="N56" s="35"/>
      <c r="O56" s="139" t="str">
        <f t="shared" si="0"/>
        <v/>
      </c>
      <c r="P56" s="52" t="str">
        <f t="shared" si="1"/>
        <v/>
      </c>
    </row>
    <row r="57" spans="1:16" x14ac:dyDescent="0.25">
      <c r="A57" s="159"/>
      <c r="B57" s="160"/>
      <c r="C57" s="33"/>
      <c r="D57" s="61"/>
      <c r="E57" s="171"/>
      <c r="F57" s="171"/>
      <c r="G57" s="30" t="str">
        <f>IF(E56="", G56, E56 &amp; "." &amp; 2)</f>
        <v>13.2</v>
      </c>
      <c r="H57" s="43"/>
      <c r="I57" s="33"/>
      <c r="J57" s="29"/>
      <c r="K57" s="29"/>
      <c r="L57" s="35"/>
      <c r="M57" s="35"/>
      <c r="N57" s="35"/>
      <c r="O57" s="139" t="str">
        <f t="shared" si="0"/>
        <v/>
      </c>
      <c r="P57" s="52" t="str">
        <f t="shared" si="1"/>
        <v/>
      </c>
    </row>
    <row r="58" spans="1:16" x14ac:dyDescent="0.25">
      <c r="A58" s="159"/>
      <c r="B58" s="160"/>
      <c r="C58" s="33"/>
      <c r="D58" s="61"/>
      <c r="E58" s="171"/>
      <c r="F58" s="171"/>
      <c r="G58" s="30" t="str">
        <f>IF(E56="", G56, E56 &amp; "." &amp; 3)</f>
        <v>13.3</v>
      </c>
      <c r="H58" s="43"/>
      <c r="I58" s="33"/>
      <c r="J58" s="29"/>
      <c r="K58" s="29"/>
      <c r="L58" s="35"/>
      <c r="M58" s="35"/>
      <c r="N58" s="35"/>
      <c r="O58" s="139" t="str">
        <f t="shared" si="0"/>
        <v/>
      </c>
      <c r="P58" s="52" t="str">
        <f t="shared" si="1"/>
        <v/>
      </c>
    </row>
    <row r="59" spans="1:16" x14ac:dyDescent="0.25">
      <c r="A59" s="159"/>
      <c r="B59" s="160"/>
      <c r="C59" s="33"/>
      <c r="D59" s="61"/>
      <c r="E59" s="171"/>
      <c r="F59" s="172"/>
      <c r="G59" s="30" t="str">
        <f>IF(E56="", G56, E56 &amp; "." &amp; 4)</f>
        <v>13.4</v>
      </c>
      <c r="H59" s="43"/>
      <c r="I59" s="33"/>
      <c r="J59" s="29"/>
      <c r="K59" s="29"/>
      <c r="L59" s="35"/>
      <c r="M59" s="35"/>
      <c r="N59" s="35"/>
      <c r="O59" s="139" t="str">
        <f t="shared" si="0"/>
        <v/>
      </c>
      <c r="P59" s="52" t="str">
        <f t="shared" si="1"/>
        <v/>
      </c>
    </row>
    <row r="60" spans="1:16" x14ac:dyDescent="0.25">
      <c r="A60" s="159"/>
      <c r="B60" s="160"/>
      <c r="C60" s="33"/>
      <c r="D60" s="40"/>
      <c r="E60" s="170">
        <v>14</v>
      </c>
      <c r="F60" s="170"/>
      <c r="G60" s="34" t="str">
        <f>IF(E60="", G60, E60 &amp; "." &amp; 1)</f>
        <v>14.1</v>
      </c>
      <c r="H60" s="43"/>
      <c r="I60" s="33"/>
      <c r="J60" s="29"/>
      <c r="K60" s="29"/>
      <c r="L60" s="35"/>
      <c r="M60" s="35"/>
      <c r="N60" s="35"/>
      <c r="O60" s="139" t="str">
        <f t="shared" si="0"/>
        <v/>
      </c>
      <c r="P60" s="52" t="str">
        <f t="shared" si="1"/>
        <v/>
      </c>
    </row>
    <row r="61" spans="1:16" x14ac:dyDescent="0.25">
      <c r="A61" s="159"/>
      <c r="B61" s="160"/>
      <c r="C61" s="33"/>
      <c r="D61" s="61"/>
      <c r="E61" s="171"/>
      <c r="F61" s="171"/>
      <c r="G61" s="30" t="str">
        <f>IF(E60="", G60, E60 &amp; "." &amp; 2)</f>
        <v>14.2</v>
      </c>
      <c r="H61" s="43"/>
      <c r="I61" s="33"/>
      <c r="J61" s="29"/>
      <c r="K61" s="29"/>
      <c r="L61" s="35"/>
      <c r="M61" s="35"/>
      <c r="N61" s="35"/>
      <c r="O61" s="139" t="str">
        <f t="shared" si="0"/>
        <v/>
      </c>
      <c r="P61" s="52" t="str">
        <f t="shared" si="1"/>
        <v/>
      </c>
    </row>
    <row r="62" spans="1:16" x14ac:dyDescent="0.25">
      <c r="A62" s="159"/>
      <c r="B62" s="160"/>
      <c r="C62" s="33"/>
      <c r="D62" s="61"/>
      <c r="E62" s="171"/>
      <c r="F62" s="171"/>
      <c r="G62" s="30" t="str">
        <f>IF(E60="", G60, E60 &amp; "." &amp; 3)</f>
        <v>14.3</v>
      </c>
      <c r="H62" s="43"/>
      <c r="I62" s="33"/>
      <c r="J62" s="29"/>
      <c r="K62" s="29"/>
      <c r="L62" s="35"/>
      <c r="M62" s="35"/>
      <c r="N62" s="35"/>
      <c r="O62" s="139" t="str">
        <f t="shared" si="0"/>
        <v/>
      </c>
      <c r="P62" s="52" t="str">
        <f t="shared" si="1"/>
        <v/>
      </c>
    </row>
    <row r="63" spans="1:16" ht="15.75" thickBot="1" x14ac:dyDescent="0.3">
      <c r="A63" s="157"/>
      <c r="B63" s="158"/>
      <c r="C63" s="37"/>
      <c r="D63" s="49"/>
      <c r="E63" s="173"/>
      <c r="F63" s="173"/>
      <c r="G63" s="247" t="str">
        <f>IF(E60="", G60, E60 &amp; "." &amp; 4)</f>
        <v>14.4</v>
      </c>
      <c r="H63" s="44"/>
      <c r="I63" s="37"/>
      <c r="J63" s="49"/>
      <c r="K63" s="49"/>
      <c r="L63" s="39"/>
      <c r="M63" s="39"/>
      <c r="N63" s="39"/>
      <c r="O63" s="156" t="str">
        <f t="shared" si="0"/>
        <v/>
      </c>
      <c r="P63" s="53" t="str">
        <f t="shared" si="1"/>
        <v/>
      </c>
    </row>
    <row r="64" spans="1:16" s="1" customFormat="1" ht="25.5" customHeight="1" x14ac:dyDescent="0.25">
      <c r="A64" s="161" t="s">
        <v>219</v>
      </c>
      <c r="B64" s="147"/>
      <c r="C64" s="163" t="s">
        <v>321</v>
      </c>
      <c r="D64" s="163" t="s">
        <v>343</v>
      </c>
      <c r="E64" s="175" t="s">
        <v>338</v>
      </c>
      <c r="F64" s="176"/>
      <c r="G64" s="57"/>
      <c r="H64" s="163" t="s">
        <v>325</v>
      </c>
      <c r="I64" s="163" t="s">
        <v>332</v>
      </c>
      <c r="J64" s="163" t="s">
        <v>326</v>
      </c>
      <c r="K64" s="163" t="s">
        <v>337</v>
      </c>
      <c r="L64" s="192" t="s">
        <v>331</v>
      </c>
      <c r="M64" s="193"/>
      <c r="N64" s="194"/>
      <c r="O64" s="163" t="s">
        <v>329</v>
      </c>
      <c r="P64" s="190" t="s">
        <v>330</v>
      </c>
    </row>
    <row r="65" spans="1:16" ht="15.75" thickBot="1" x14ac:dyDescent="0.3">
      <c r="A65" s="162"/>
      <c r="B65" s="148"/>
      <c r="C65" s="164"/>
      <c r="D65" s="164"/>
      <c r="E65" s="177"/>
      <c r="F65" s="174"/>
      <c r="G65" s="58"/>
      <c r="H65" s="164"/>
      <c r="I65" s="164"/>
      <c r="J65" s="164"/>
      <c r="K65" s="164"/>
      <c r="L65" s="41" t="s">
        <v>322</v>
      </c>
      <c r="M65" s="41" t="s">
        <v>323</v>
      </c>
      <c r="N65" s="41" t="s">
        <v>324</v>
      </c>
      <c r="O65" s="164"/>
      <c r="P65" s="191"/>
    </row>
    <row r="66" spans="1:16" ht="15.75" thickTop="1" x14ac:dyDescent="0.25">
      <c r="A66" s="32"/>
      <c r="B66" s="149"/>
      <c r="C66" s="33"/>
      <c r="D66" s="40"/>
      <c r="E66" s="170">
        <v>15</v>
      </c>
      <c r="F66" s="170"/>
      <c r="G66" s="30" t="str">
        <f>IF(E66="", G66, E66 &amp; "." &amp; 1)</f>
        <v>15.1</v>
      </c>
      <c r="H66" s="43"/>
      <c r="I66" s="33"/>
      <c r="J66" s="29"/>
      <c r="K66" s="29"/>
      <c r="L66" s="35"/>
      <c r="M66" s="35"/>
      <c r="N66" s="35"/>
      <c r="O66" s="51">
        <f t="shared" ref="O66:O97" si="3">IFERROR(IF(J66="Man",AVERAGE(L66:N66)*K66)/I66,0)</f>
        <v>0</v>
      </c>
      <c r="P66" s="52">
        <f t="shared" ref="P66:P97" si="4">IFERROR(IF(J66="Machine",(AVERAGE(L66:N66)/I66)/60,0),0)</f>
        <v>0</v>
      </c>
    </row>
    <row r="67" spans="1:16" x14ac:dyDescent="0.25">
      <c r="A67" s="32"/>
      <c r="B67" s="149"/>
      <c r="C67" s="33"/>
      <c r="D67" s="61"/>
      <c r="E67" s="171"/>
      <c r="F67" s="171"/>
      <c r="G67" s="30" t="str">
        <f>IF(E66="", G66, E66 &amp; "." &amp; 2)</f>
        <v>15.2</v>
      </c>
      <c r="H67" s="43"/>
      <c r="I67" s="33"/>
      <c r="J67" s="29"/>
      <c r="K67" s="29"/>
      <c r="L67" s="35"/>
      <c r="M67" s="35"/>
      <c r="N67" s="35"/>
      <c r="O67" s="51">
        <f t="shared" si="3"/>
        <v>0</v>
      </c>
      <c r="P67" s="52">
        <f t="shared" si="4"/>
        <v>0</v>
      </c>
    </row>
    <row r="68" spans="1:16" x14ac:dyDescent="0.25">
      <c r="A68" s="32"/>
      <c r="B68" s="149"/>
      <c r="C68" s="33"/>
      <c r="D68" s="61"/>
      <c r="E68" s="171"/>
      <c r="F68" s="171"/>
      <c r="G68" s="30" t="str">
        <f>IF(E66="", G66, E66 &amp; "." &amp; 3)</f>
        <v>15.3</v>
      </c>
      <c r="H68" s="43"/>
      <c r="I68" s="33"/>
      <c r="J68" s="29"/>
      <c r="K68" s="29"/>
      <c r="L68" s="35"/>
      <c r="M68" s="35"/>
      <c r="N68" s="35"/>
      <c r="O68" s="51">
        <f t="shared" si="3"/>
        <v>0</v>
      </c>
      <c r="P68" s="52">
        <f t="shared" si="4"/>
        <v>0</v>
      </c>
    </row>
    <row r="69" spans="1:16" x14ac:dyDescent="0.25">
      <c r="A69" s="32"/>
      <c r="B69" s="149"/>
      <c r="C69" s="33"/>
      <c r="D69" s="61"/>
      <c r="E69" s="171"/>
      <c r="F69" s="172"/>
      <c r="G69" s="30" t="str">
        <f>IF(E66="", G66, E66 &amp; "." &amp; 4)</f>
        <v>15.4</v>
      </c>
      <c r="H69" s="43"/>
      <c r="I69" s="33"/>
      <c r="J69" s="29"/>
      <c r="K69" s="29"/>
      <c r="L69" s="35"/>
      <c r="M69" s="35"/>
      <c r="N69" s="35"/>
      <c r="O69" s="51">
        <f t="shared" si="3"/>
        <v>0</v>
      </c>
      <c r="P69" s="52">
        <f t="shared" si="4"/>
        <v>0</v>
      </c>
    </row>
    <row r="70" spans="1:16" x14ac:dyDescent="0.25">
      <c r="A70" s="32"/>
      <c r="B70" s="149"/>
      <c r="C70" s="33"/>
      <c r="D70" s="40"/>
      <c r="E70" s="170">
        <v>16</v>
      </c>
      <c r="F70" s="170"/>
      <c r="G70" s="30" t="str">
        <f>IF(E70="", G70, E70 &amp; "." &amp; 1)</f>
        <v>16.1</v>
      </c>
      <c r="H70" s="43"/>
      <c r="I70" s="33"/>
      <c r="J70" s="29"/>
      <c r="K70" s="29"/>
      <c r="L70" s="35"/>
      <c r="M70" s="35"/>
      <c r="N70" s="35"/>
      <c r="O70" s="51">
        <f t="shared" si="3"/>
        <v>0</v>
      </c>
      <c r="P70" s="52">
        <f t="shared" si="4"/>
        <v>0</v>
      </c>
    </row>
    <row r="71" spans="1:16" x14ac:dyDescent="0.25">
      <c r="A71" s="32"/>
      <c r="B71" s="149"/>
      <c r="C71" s="33"/>
      <c r="D71" s="61"/>
      <c r="E71" s="171"/>
      <c r="F71" s="171"/>
      <c r="G71" s="30" t="str">
        <f>IF(E70="", G70, E70 &amp; "." &amp; 2)</f>
        <v>16.2</v>
      </c>
      <c r="H71" s="43"/>
      <c r="I71" s="33"/>
      <c r="J71" s="29"/>
      <c r="K71" s="29"/>
      <c r="L71" s="35"/>
      <c r="M71" s="35"/>
      <c r="N71" s="35"/>
      <c r="O71" s="51">
        <f t="shared" si="3"/>
        <v>0</v>
      </c>
      <c r="P71" s="52">
        <f t="shared" si="4"/>
        <v>0</v>
      </c>
    </row>
    <row r="72" spans="1:16" x14ac:dyDescent="0.25">
      <c r="A72" s="32"/>
      <c r="B72" s="149"/>
      <c r="C72" s="33"/>
      <c r="D72" s="61"/>
      <c r="E72" s="171"/>
      <c r="F72" s="171"/>
      <c r="G72" s="30" t="str">
        <f>IF(E70="", G70, E70 &amp; "." &amp; 3)</f>
        <v>16.3</v>
      </c>
      <c r="H72" s="43"/>
      <c r="I72" s="33"/>
      <c r="J72" s="29"/>
      <c r="K72" s="29"/>
      <c r="L72" s="35"/>
      <c r="M72" s="35"/>
      <c r="N72" s="35"/>
      <c r="O72" s="51">
        <f t="shared" si="3"/>
        <v>0</v>
      </c>
      <c r="P72" s="52">
        <f t="shared" si="4"/>
        <v>0</v>
      </c>
    </row>
    <row r="73" spans="1:16" x14ac:dyDescent="0.25">
      <c r="A73" s="32"/>
      <c r="B73" s="149"/>
      <c r="C73" s="33"/>
      <c r="D73" s="61"/>
      <c r="E73" s="171"/>
      <c r="F73" s="172"/>
      <c r="G73" s="30" t="str">
        <f>IF(E70="", G70, E70 &amp; "." &amp; 4)</f>
        <v>16.4</v>
      </c>
      <c r="H73" s="43"/>
      <c r="I73" s="33"/>
      <c r="J73" s="29"/>
      <c r="K73" s="29"/>
      <c r="L73" s="35"/>
      <c r="M73" s="35"/>
      <c r="N73" s="35"/>
      <c r="O73" s="51">
        <f t="shared" si="3"/>
        <v>0</v>
      </c>
      <c r="P73" s="52">
        <f t="shared" si="4"/>
        <v>0</v>
      </c>
    </row>
    <row r="74" spans="1:16" x14ac:dyDescent="0.25">
      <c r="A74" s="32"/>
      <c r="B74" s="149"/>
      <c r="C74" s="33"/>
      <c r="D74" s="40"/>
      <c r="E74" s="170">
        <v>17</v>
      </c>
      <c r="F74" s="170"/>
      <c r="G74" s="30" t="str">
        <f>IF(E74="", G74, E74 &amp; "." &amp; 1)</f>
        <v>17.1</v>
      </c>
      <c r="H74" s="43"/>
      <c r="I74" s="33"/>
      <c r="J74" s="29"/>
      <c r="K74" s="29"/>
      <c r="L74" s="35"/>
      <c r="M74" s="35"/>
      <c r="N74" s="35"/>
      <c r="O74" s="51">
        <f t="shared" si="3"/>
        <v>0</v>
      </c>
      <c r="P74" s="52">
        <f t="shared" si="4"/>
        <v>0</v>
      </c>
    </row>
    <row r="75" spans="1:16" x14ac:dyDescent="0.25">
      <c r="A75" s="32"/>
      <c r="B75" s="149"/>
      <c r="C75" s="33"/>
      <c r="D75" s="61"/>
      <c r="E75" s="171"/>
      <c r="F75" s="171"/>
      <c r="G75" s="30" t="str">
        <f>IF(E74="", G74, E74 &amp; "." &amp; 2)</f>
        <v>17.2</v>
      </c>
      <c r="H75" s="43"/>
      <c r="I75" s="33"/>
      <c r="J75" s="29"/>
      <c r="K75" s="29"/>
      <c r="L75" s="35"/>
      <c r="M75" s="35"/>
      <c r="N75" s="35"/>
      <c r="O75" s="51">
        <f t="shared" si="3"/>
        <v>0</v>
      </c>
      <c r="P75" s="52">
        <f t="shared" si="4"/>
        <v>0</v>
      </c>
    </row>
    <row r="76" spans="1:16" x14ac:dyDescent="0.25">
      <c r="A76" s="32"/>
      <c r="B76" s="149"/>
      <c r="C76" s="33"/>
      <c r="D76" s="61"/>
      <c r="E76" s="171"/>
      <c r="F76" s="171"/>
      <c r="G76" s="30" t="str">
        <f>IF(E74="", G74, E74 &amp; "." &amp; 3)</f>
        <v>17.3</v>
      </c>
      <c r="H76" s="43"/>
      <c r="I76" s="33"/>
      <c r="J76" s="29"/>
      <c r="K76" s="29"/>
      <c r="L76" s="35"/>
      <c r="M76" s="35"/>
      <c r="N76" s="35"/>
      <c r="O76" s="51">
        <f t="shared" si="3"/>
        <v>0</v>
      </c>
      <c r="P76" s="52">
        <f t="shared" si="4"/>
        <v>0</v>
      </c>
    </row>
    <row r="77" spans="1:16" x14ac:dyDescent="0.25">
      <c r="A77" s="32"/>
      <c r="B77" s="149"/>
      <c r="C77" s="33"/>
      <c r="D77" s="61"/>
      <c r="E77" s="171"/>
      <c r="F77" s="172"/>
      <c r="G77" s="30" t="str">
        <f>IF(E74="", G74, E74 &amp; "." &amp; 4)</f>
        <v>17.4</v>
      </c>
      <c r="H77" s="43"/>
      <c r="I77" s="33"/>
      <c r="J77" s="29"/>
      <c r="K77" s="29"/>
      <c r="L77" s="35"/>
      <c r="M77" s="35"/>
      <c r="N77" s="35"/>
      <c r="O77" s="51">
        <f t="shared" si="3"/>
        <v>0</v>
      </c>
      <c r="P77" s="52">
        <f t="shared" si="4"/>
        <v>0</v>
      </c>
    </row>
    <row r="78" spans="1:16" x14ac:dyDescent="0.25">
      <c r="A78" s="32"/>
      <c r="B78" s="149"/>
      <c r="C78" s="33"/>
      <c r="D78" s="40"/>
      <c r="E78" s="170">
        <v>18</v>
      </c>
      <c r="F78" s="170"/>
      <c r="G78" s="30" t="str">
        <f>IF(E78="", G78, E78 &amp; "." &amp; 1)</f>
        <v>18.1</v>
      </c>
      <c r="H78" s="43"/>
      <c r="I78" s="33"/>
      <c r="J78" s="29"/>
      <c r="K78" s="29"/>
      <c r="L78" s="35"/>
      <c r="M78" s="35"/>
      <c r="N78" s="35"/>
      <c r="O78" s="51">
        <f t="shared" si="3"/>
        <v>0</v>
      </c>
      <c r="P78" s="52">
        <f t="shared" si="4"/>
        <v>0</v>
      </c>
    </row>
    <row r="79" spans="1:16" x14ac:dyDescent="0.25">
      <c r="A79" s="32"/>
      <c r="B79" s="149"/>
      <c r="C79" s="33"/>
      <c r="D79" s="61"/>
      <c r="E79" s="171"/>
      <c r="F79" s="171"/>
      <c r="G79" s="30" t="str">
        <f>IF(E78="", G78, E78 &amp; "." &amp; 2)</f>
        <v>18.2</v>
      </c>
      <c r="H79" s="43"/>
      <c r="I79" s="33"/>
      <c r="J79" s="29"/>
      <c r="K79" s="29"/>
      <c r="L79" s="35"/>
      <c r="M79" s="35"/>
      <c r="N79" s="35"/>
      <c r="O79" s="51">
        <f t="shared" si="3"/>
        <v>0</v>
      </c>
      <c r="P79" s="52">
        <f t="shared" si="4"/>
        <v>0</v>
      </c>
    </row>
    <row r="80" spans="1:16" x14ac:dyDescent="0.25">
      <c r="A80" s="32"/>
      <c r="B80" s="149"/>
      <c r="C80" s="33"/>
      <c r="D80" s="61"/>
      <c r="E80" s="171"/>
      <c r="F80" s="171"/>
      <c r="G80" s="30" t="str">
        <f>IF(E78="", G78, E78 &amp; "." &amp; 3)</f>
        <v>18.3</v>
      </c>
      <c r="H80" s="43"/>
      <c r="I80" s="33"/>
      <c r="J80" s="29"/>
      <c r="K80" s="29"/>
      <c r="L80" s="35"/>
      <c r="M80" s="35"/>
      <c r="N80" s="35"/>
      <c r="O80" s="51">
        <f t="shared" si="3"/>
        <v>0</v>
      </c>
      <c r="P80" s="52">
        <f t="shared" si="4"/>
        <v>0</v>
      </c>
    </row>
    <row r="81" spans="1:16" x14ac:dyDescent="0.25">
      <c r="A81" s="32"/>
      <c r="B81" s="149"/>
      <c r="C81" s="33"/>
      <c r="D81" s="61"/>
      <c r="E81" s="171"/>
      <c r="F81" s="172"/>
      <c r="G81" s="30" t="str">
        <f>IF(E78="", G78, E78 &amp; "." &amp; 4)</f>
        <v>18.4</v>
      </c>
      <c r="H81" s="43"/>
      <c r="I81" s="33"/>
      <c r="J81" s="29"/>
      <c r="K81" s="29"/>
      <c r="L81" s="35"/>
      <c r="M81" s="35"/>
      <c r="N81" s="35"/>
      <c r="O81" s="51">
        <f t="shared" si="3"/>
        <v>0</v>
      </c>
      <c r="P81" s="52">
        <f t="shared" si="4"/>
        <v>0</v>
      </c>
    </row>
    <row r="82" spans="1:16" x14ac:dyDescent="0.25">
      <c r="A82" s="32"/>
      <c r="B82" s="149"/>
      <c r="C82" s="33"/>
      <c r="D82" s="33"/>
      <c r="E82" s="169">
        <v>19</v>
      </c>
      <c r="F82" s="170"/>
      <c r="G82" s="30" t="str">
        <f>IF(E82="", G82, E82 &amp; "." &amp; 1)</f>
        <v>19.1</v>
      </c>
      <c r="H82" s="43"/>
      <c r="I82" s="33"/>
      <c r="J82" s="33"/>
      <c r="K82" s="33"/>
      <c r="L82" s="35"/>
      <c r="M82" s="35"/>
      <c r="N82" s="35"/>
      <c r="O82" s="54">
        <f t="shared" si="3"/>
        <v>0</v>
      </c>
      <c r="P82" s="52">
        <f t="shared" si="4"/>
        <v>0</v>
      </c>
    </row>
    <row r="83" spans="1:16" x14ac:dyDescent="0.25">
      <c r="A83" s="32"/>
      <c r="B83" s="149"/>
      <c r="C83" s="33"/>
      <c r="D83" s="33"/>
      <c r="E83" s="169"/>
      <c r="F83" s="171"/>
      <c r="G83" s="30" t="str">
        <f>IF(E82="", G82, E82 &amp; "." &amp; 2)</f>
        <v>19.2</v>
      </c>
      <c r="H83" s="43"/>
      <c r="I83" s="33"/>
      <c r="J83" s="33"/>
      <c r="K83" s="33"/>
      <c r="L83" s="35"/>
      <c r="M83" s="35"/>
      <c r="N83" s="35"/>
      <c r="O83" s="54">
        <f t="shared" si="3"/>
        <v>0</v>
      </c>
      <c r="P83" s="52">
        <f t="shared" si="4"/>
        <v>0</v>
      </c>
    </row>
    <row r="84" spans="1:16" x14ac:dyDescent="0.25">
      <c r="A84" s="32"/>
      <c r="B84" s="149"/>
      <c r="C84" s="33"/>
      <c r="D84" s="33"/>
      <c r="E84" s="169"/>
      <c r="F84" s="171"/>
      <c r="G84" s="30" t="str">
        <f>IF(E82="", G82, E82 &amp; "." &amp; 3)</f>
        <v>19.3</v>
      </c>
      <c r="H84" s="43"/>
      <c r="I84" s="33"/>
      <c r="J84" s="33"/>
      <c r="K84" s="33"/>
      <c r="L84" s="35"/>
      <c r="M84" s="35"/>
      <c r="N84" s="35"/>
      <c r="O84" s="54">
        <f t="shared" si="3"/>
        <v>0</v>
      </c>
      <c r="P84" s="52">
        <f t="shared" si="4"/>
        <v>0</v>
      </c>
    </row>
    <row r="85" spans="1:16" x14ac:dyDescent="0.25">
      <c r="A85" s="56"/>
      <c r="B85" s="142"/>
      <c r="C85" s="10"/>
      <c r="D85" s="10"/>
      <c r="E85" s="169"/>
      <c r="F85" s="172"/>
      <c r="G85" s="30" t="str">
        <f>IF(E82="", G82, E82 &amp; "." &amp; 4)</f>
        <v>19.4</v>
      </c>
      <c r="H85" s="55"/>
      <c r="I85" s="10"/>
      <c r="J85" s="10"/>
      <c r="K85" s="10"/>
      <c r="L85" s="10"/>
      <c r="M85" s="10"/>
      <c r="N85" s="54"/>
      <c r="O85" s="54">
        <f t="shared" si="3"/>
        <v>0</v>
      </c>
      <c r="P85" s="52">
        <f t="shared" si="4"/>
        <v>0</v>
      </c>
    </row>
    <row r="86" spans="1:16" x14ac:dyDescent="0.25">
      <c r="A86" s="56"/>
      <c r="B86" s="142"/>
      <c r="C86" s="10"/>
      <c r="D86" s="10"/>
      <c r="E86" s="169">
        <v>20</v>
      </c>
      <c r="F86" s="170"/>
      <c r="G86" s="30" t="str">
        <f>IF(E86="", G86, E86 &amp; "." &amp; 1)</f>
        <v>20.1</v>
      </c>
      <c r="H86" s="55"/>
      <c r="I86" s="10"/>
      <c r="J86" s="10"/>
      <c r="K86" s="10"/>
      <c r="L86" s="10"/>
      <c r="M86" s="10"/>
      <c r="N86" s="54"/>
      <c r="O86" s="54">
        <f t="shared" si="3"/>
        <v>0</v>
      </c>
      <c r="P86" s="52">
        <f t="shared" si="4"/>
        <v>0</v>
      </c>
    </row>
    <row r="87" spans="1:16" x14ac:dyDescent="0.25">
      <c r="A87" s="56"/>
      <c r="B87" s="142"/>
      <c r="C87" s="10"/>
      <c r="D87" s="10"/>
      <c r="E87" s="169"/>
      <c r="F87" s="171"/>
      <c r="G87" s="30" t="str">
        <f>IF(E86="", G86, E86 &amp; "." &amp; 2)</f>
        <v>20.2</v>
      </c>
      <c r="H87" s="55"/>
      <c r="I87" s="10"/>
      <c r="J87" s="10"/>
      <c r="K87" s="10"/>
      <c r="L87" s="10"/>
      <c r="M87" s="10"/>
      <c r="N87" s="54"/>
      <c r="O87" s="54">
        <f t="shared" si="3"/>
        <v>0</v>
      </c>
      <c r="P87" s="52">
        <f t="shared" si="4"/>
        <v>0</v>
      </c>
    </row>
    <row r="88" spans="1:16" x14ac:dyDescent="0.25">
      <c r="A88" s="56"/>
      <c r="B88" s="142"/>
      <c r="C88" s="10"/>
      <c r="D88" s="10"/>
      <c r="E88" s="169"/>
      <c r="F88" s="171"/>
      <c r="G88" s="30" t="str">
        <f>IF(E86="", G86, E86 &amp; "." &amp; 3)</f>
        <v>20.3</v>
      </c>
      <c r="H88" s="55"/>
      <c r="I88" s="10"/>
      <c r="J88" s="10"/>
      <c r="K88" s="10"/>
      <c r="L88" s="10"/>
      <c r="M88" s="10"/>
      <c r="N88" s="54"/>
      <c r="O88" s="54">
        <f t="shared" si="3"/>
        <v>0</v>
      </c>
      <c r="P88" s="52">
        <f t="shared" si="4"/>
        <v>0</v>
      </c>
    </row>
    <row r="89" spans="1:16" x14ac:dyDescent="0.25">
      <c r="A89" s="56"/>
      <c r="B89" s="142"/>
      <c r="C89" s="10"/>
      <c r="D89" s="10"/>
      <c r="E89" s="169"/>
      <c r="F89" s="172"/>
      <c r="G89" s="30" t="str">
        <f>IF(E86="", G86, E86 &amp; "." &amp; 4)</f>
        <v>20.4</v>
      </c>
      <c r="H89" s="55"/>
      <c r="I89" s="10"/>
      <c r="J89" s="10"/>
      <c r="K89" s="10"/>
      <c r="L89" s="10"/>
      <c r="M89" s="10"/>
      <c r="N89" s="54"/>
      <c r="O89" s="54">
        <f t="shared" si="3"/>
        <v>0</v>
      </c>
      <c r="P89" s="52">
        <f t="shared" si="4"/>
        <v>0</v>
      </c>
    </row>
    <row r="90" spans="1:16" x14ac:dyDescent="0.25">
      <c r="A90" s="56"/>
      <c r="B90" s="142"/>
      <c r="C90" s="10"/>
      <c r="D90" s="10"/>
      <c r="E90" s="169">
        <v>21</v>
      </c>
      <c r="F90" s="170"/>
      <c r="G90" s="30" t="str">
        <f>IF(E90="", G90, E90 &amp; "." &amp; 1)</f>
        <v>21.1</v>
      </c>
      <c r="H90" s="55"/>
      <c r="I90" s="10"/>
      <c r="J90" s="10"/>
      <c r="K90" s="10"/>
      <c r="L90" s="10"/>
      <c r="M90" s="10"/>
      <c r="N90" s="54"/>
      <c r="O90" s="54">
        <f t="shared" si="3"/>
        <v>0</v>
      </c>
      <c r="P90" s="52">
        <f t="shared" si="4"/>
        <v>0</v>
      </c>
    </row>
    <row r="91" spans="1:16" x14ac:dyDescent="0.25">
      <c r="A91" s="56"/>
      <c r="B91" s="142"/>
      <c r="C91" s="10"/>
      <c r="D91" s="10"/>
      <c r="E91" s="169"/>
      <c r="F91" s="171"/>
      <c r="G91" s="30" t="str">
        <f>IF(E90="", G90, E90 &amp; "." &amp; 2)</f>
        <v>21.2</v>
      </c>
      <c r="H91" s="55"/>
      <c r="I91" s="10"/>
      <c r="J91" s="10"/>
      <c r="K91" s="10"/>
      <c r="L91" s="10"/>
      <c r="M91" s="10"/>
      <c r="N91" s="54"/>
      <c r="O91" s="54">
        <f t="shared" si="3"/>
        <v>0</v>
      </c>
      <c r="P91" s="52">
        <f t="shared" si="4"/>
        <v>0</v>
      </c>
    </row>
    <row r="92" spans="1:16" x14ac:dyDescent="0.25">
      <c r="A92" s="56"/>
      <c r="B92" s="142"/>
      <c r="C92" s="10"/>
      <c r="D92" s="10"/>
      <c r="E92" s="169"/>
      <c r="F92" s="171"/>
      <c r="G92" s="30" t="str">
        <f>IF(E90="", G90, E90 &amp; "." &amp; 3)</f>
        <v>21.3</v>
      </c>
      <c r="H92" s="55"/>
      <c r="I92" s="10"/>
      <c r="J92" s="10"/>
      <c r="K92" s="10"/>
      <c r="L92" s="10"/>
      <c r="M92" s="10"/>
      <c r="N92" s="54"/>
      <c r="O92" s="54">
        <f t="shared" si="3"/>
        <v>0</v>
      </c>
      <c r="P92" s="52">
        <f t="shared" si="4"/>
        <v>0</v>
      </c>
    </row>
    <row r="93" spans="1:16" x14ac:dyDescent="0.25">
      <c r="A93" s="56"/>
      <c r="B93" s="142"/>
      <c r="C93" s="10"/>
      <c r="D93" s="10"/>
      <c r="E93" s="169"/>
      <c r="F93" s="172"/>
      <c r="G93" s="30" t="str">
        <f>IF(E90="", G90, E90 &amp; "." &amp; 4)</f>
        <v>21.4</v>
      </c>
      <c r="H93" s="55"/>
      <c r="I93" s="10"/>
      <c r="J93" s="10"/>
      <c r="K93" s="10"/>
      <c r="L93" s="10"/>
      <c r="M93" s="10"/>
      <c r="N93" s="54"/>
      <c r="O93" s="54">
        <f t="shared" si="3"/>
        <v>0</v>
      </c>
      <c r="P93" s="52">
        <f t="shared" si="4"/>
        <v>0</v>
      </c>
    </row>
    <row r="94" spans="1:16" x14ac:dyDescent="0.25">
      <c r="A94" s="56"/>
      <c r="B94" s="142"/>
      <c r="C94" s="10"/>
      <c r="D94" s="10"/>
      <c r="E94" s="169">
        <v>22</v>
      </c>
      <c r="F94" s="170"/>
      <c r="G94" s="30" t="str">
        <f>IF(E94="", G94, E94 &amp; "." &amp; 1)</f>
        <v>22.1</v>
      </c>
      <c r="H94" s="55"/>
      <c r="I94" s="10"/>
      <c r="J94" s="10"/>
      <c r="K94" s="10"/>
      <c r="L94" s="10"/>
      <c r="M94" s="10"/>
      <c r="N94" s="54"/>
      <c r="O94" s="54">
        <f t="shared" si="3"/>
        <v>0</v>
      </c>
      <c r="P94" s="52">
        <f t="shared" si="4"/>
        <v>0</v>
      </c>
    </row>
    <row r="95" spans="1:16" x14ac:dyDescent="0.25">
      <c r="A95" s="56"/>
      <c r="B95" s="142"/>
      <c r="C95" s="10"/>
      <c r="D95" s="10"/>
      <c r="E95" s="169"/>
      <c r="F95" s="171"/>
      <c r="G95" s="30" t="str">
        <f>IF(E94="", G94, E94 &amp; "." &amp; 2)</f>
        <v>22.2</v>
      </c>
      <c r="H95" s="55"/>
      <c r="I95" s="10"/>
      <c r="J95" s="10"/>
      <c r="K95" s="10"/>
      <c r="L95" s="10"/>
      <c r="M95" s="10"/>
      <c r="N95" s="54"/>
      <c r="O95" s="54">
        <f t="shared" si="3"/>
        <v>0</v>
      </c>
      <c r="P95" s="52">
        <f t="shared" si="4"/>
        <v>0</v>
      </c>
    </row>
    <row r="96" spans="1:16" x14ac:dyDescent="0.25">
      <c r="A96" s="56"/>
      <c r="B96" s="142"/>
      <c r="C96" s="10"/>
      <c r="D96" s="10"/>
      <c r="E96" s="169"/>
      <c r="F96" s="171"/>
      <c r="G96" s="30" t="str">
        <f>IF(E94="", G94, E94 &amp; "." &amp; 3)</f>
        <v>22.3</v>
      </c>
      <c r="H96" s="55"/>
      <c r="I96" s="10"/>
      <c r="J96" s="10"/>
      <c r="K96" s="10"/>
      <c r="L96" s="10"/>
      <c r="M96" s="10"/>
      <c r="N96" s="54"/>
      <c r="O96" s="54">
        <f t="shared" si="3"/>
        <v>0</v>
      </c>
      <c r="P96" s="52">
        <f t="shared" si="4"/>
        <v>0</v>
      </c>
    </row>
    <row r="97" spans="1:16" x14ac:dyDescent="0.25">
      <c r="A97" s="56"/>
      <c r="B97" s="142"/>
      <c r="C97" s="10"/>
      <c r="D97" s="10"/>
      <c r="E97" s="169"/>
      <c r="F97" s="172"/>
      <c r="G97" s="30" t="str">
        <f>IF(E94="", G94, E94 &amp; "." &amp; 4)</f>
        <v>22.4</v>
      </c>
      <c r="H97" s="55"/>
      <c r="I97" s="10"/>
      <c r="J97" s="10"/>
      <c r="K97" s="10"/>
      <c r="L97" s="10"/>
      <c r="M97" s="10"/>
      <c r="N97" s="54"/>
      <c r="O97" s="54">
        <f t="shared" si="3"/>
        <v>0</v>
      </c>
      <c r="P97" s="52">
        <f t="shared" si="4"/>
        <v>0</v>
      </c>
    </row>
    <row r="98" spans="1:16" x14ac:dyDescent="0.25">
      <c r="A98" s="56"/>
      <c r="B98" s="142"/>
      <c r="C98" s="10"/>
      <c r="D98" s="10"/>
      <c r="E98" s="169">
        <v>23</v>
      </c>
      <c r="F98" s="170"/>
      <c r="G98" s="30" t="str">
        <f>IF(E98="", G98, E98 &amp; "." &amp; 1)</f>
        <v>23.1</v>
      </c>
      <c r="H98" s="55"/>
      <c r="I98" s="10"/>
      <c r="J98" s="10"/>
      <c r="K98" s="10"/>
      <c r="L98" s="10"/>
      <c r="M98" s="10"/>
      <c r="N98" s="54"/>
      <c r="O98" s="54">
        <f t="shared" ref="O98:O125" si="5">IFERROR(IF(J98="Man",AVERAGE(L98:N98)*K98)/I98,0)</f>
        <v>0</v>
      </c>
      <c r="P98" s="52">
        <f t="shared" ref="P98:P125" si="6">IFERROR(IF(J98="Machine",(AVERAGE(L98:N98)/I98)/60,0),0)</f>
        <v>0</v>
      </c>
    </row>
    <row r="99" spans="1:16" x14ac:dyDescent="0.25">
      <c r="A99" s="56"/>
      <c r="B99" s="142"/>
      <c r="C99" s="10"/>
      <c r="D99" s="10"/>
      <c r="E99" s="169"/>
      <c r="F99" s="171"/>
      <c r="G99" s="30" t="str">
        <f>IF(E98="", G98, E98 &amp; "." &amp; 2)</f>
        <v>23.2</v>
      </c>
      <c r="H99" s="55"/>
      <c r="I99" s="10"/>
      <c r="J99" s="10"/>
      <c r="K99" s="10"/>
      <c r="L99" s="10"/>
      <c r="M99" s="10"/>
      <c r="N99" s="54"/>
      <c r="O99" s="54">
        <f t="shared" si="5"/>
        <v>0</v>
      </c>
      <c r="P99" s="52">
        <f t="shared" si="6"/>
        <v>0</v>
      </c>
    </row>
    <row r="100" spans="1:16" x14ac:dyDescent="0.25">
      <c r="A100" s="56"/>
      <c r="B100" s="142"/>
      <c r="C100" s="10"/>
      <c r="D100" s="10"/>
      <c r="E100" s="169"/>
      <c r="F100" s="171"/>
      <c r="G100" s="30" t="str">
        <f>IF(E98="", G98, E98 &amp; "." &amp; 3)</f>
        <v>23.3</v>
      </c>
      <c r="H100" s="55"/>
      <c r="I100" s="10"/>
      <c r="J100" s="10"/>
      <c r="K100" s="10"/>
      <c r="L100" s="10"/>
      <c r="M100" s="10"/>
      <c r="N100" s="54"/>
      <c r="O100" s="54">
        <f t="shared" si="5"/>
        <v>0</v>
      </c>
      <c r="P100" s="52">
        <f t="shared" si="6"/>
        <v>0</v>
      </c>
    </row>
    <row r="101" spans="1:16" x14ac:dyDescent="0.25">
      <c r="A101" s="56"/>
      <c r="B101" s="142"/>
      <c r="C101" s="10"/>
      <c r="D101" s="10"/>
      <c r="E101" s="169"/>
      <c r="F101" s="172"/>
      <c r="G101" s="30" t="str">
        <f>IF(E98="", G98, E98 &amp; "." &amp; 4)</f>
        <v>23.4</v>
      </c>
      <c r="H101" s="55"/>
      <c r="I101" s="10"/>
      <c r="J101" s="10"/>
      <c r="K101" s="10"/>
      <c r="L101" s="10"/>
      <c r="M101" s="10"/>
      <c r="N101" s="54"/>
      <c r="O101" s="54">
        <f t="shared" si="5"/>
        <v>0</v>
      </c>
      <c r="P101" s="52">
        <f t="shared" si="6"/>
        <v>0</v>
      </c>
    </row>
    <row r="102" spans="1:16" x14ac:dyDescent="0.25">
      <c r="A102" s="56"/>
      <c r="B102" s="142"/>
      <c r="C102" s="10"/>
      <c r="D102" s="10"/>
      <c r="E102" s="169">
        <v>24</v>
      </c>
      <c r="F102" s="170"/>
      <c r="G102" s="30" t="str">
        <f>IF(E102="", G102, E102 &amp; "." &amp; 1)</f>
        <v>24.1</v>
      </c>
      <c r="H102" s="55"/>
      <c r="I102" s="10"/>
      <c r="J102" s="10"/>
      <c r="K102" s="10"/>
      <c r="L102" s="10"/>
      <c r="M102" s="10"/>
      <c r="N102" s="54"/>
      <c r="O102" s="54">
        <f t="shared" si="5"/>
        <v>0</v>
      </c>
      <c r="P102" s="52">
        <f t="shared" si="6"/>
        <v>0</v>
      </c>
    </row>
    <row r="103" spans="1:16" x14ac:dyDescent="0.25">
      <c r="A103" s="56"/>
      <c r="B103" s="142"/>
      <c r="C103" s="10"/>
      <c r="D103" s="10"/>
      <c r="E103" s="169"/>
      <c r="F103" s="171"/>
      <c r="G103" s="30" t="str">
        <f>IF(E102="", G102, E102 &amp; "." &amp; 2)</f>
        <v>24.2</v>
      </c>
      <c r="H103" s="55"/>
      <c r="I103" s="10"/>
      <c r="J103" s="10"/>
      <c r="K103" s="10"/>
      <c r="L103" s="10"/>
      <c r="M103" s="10"/>
      <c r="N103" s="54"/>
      <c r="O103" s="54">
        <f t="shared" si="5"/>
        <v>0</v>
      </c>
      <c r="P103" s="52">
        <f t="shared" si="6"/>
        <v>0</v>
      </c>
    </row>
    <row r="104" spans="1:16" x14ac:dyDescent="0.25">
      <c r="A104" s="56"/>
      <c r="B104" s="142"/>
      <c r="C104" s="10"/>
      <c r="D104" s="10"/>
      <c r="E104" s="169"/>
      <c r="F104" s="171"/>
      <c r="G104" s="30" t="str">
        <f>IF(E102="", G102, E102 &amp; "." &amp; 3)</f>
        <v>24.3</v>
      </c>
      <c r="H104" s="55"/>
      <c r="I104" s="10"/>
      <c r="J104" s="10"/>
      <c r="K104" s="10"/>
      <c r="L104" s="10"/>
      <c r="M104" s="10"/>
      <c r="N104" s="54"/>
      <c r="O104" s="54">
        <f t="shared" si="5"/>
        <v>0</v>
      </c>
      <c r="P104" s="52">
        <f t="shared" si="6"/>
        <v>0</v>
      </c>
    </row>
    <row r="105" spans="1:16" x14ac:dyDescent="0.25">
      <c r="A105" s="56"/>
      <c r="B105" s="142"/>
      <c r="C105" s="10"/>
      <c r="D105" s="10"/>
      <c r="E105" s="169"/>
      <c r="F105" s="172"/>
      <c r="G105" s="30" t="str">
        <f>IF(E102="", G102, E102 &amp; "." &amp; 4)</f>
        <v>24.4</v>
      </c>
      <c r="H105" s="55"/>
      <c r="I105" s="10"/>
      <c r="J105" s="10"/>
      <c r="K105" s="10"/>
      <c r="L105" s="10"/>
      <c r="M105" s="10"/>
      <c r="N105" s="54"/>
      <c r="O105" s="54">
        <f t="shared" si="5"/>
        <v>0</v>
      </c>
      <c r="P105" s="52">
        <f t="shared" si="6"/>
        <v>0</v>
      </c>
    </row>
    <row r="106" spans="1:16" x14ac:dyDescent="0.25">
      <c r="A106" s="62"/>
      <c r="B106" s="150"/>
      <c r="C106" s="26"/>
      <c r="D106" s="26"/>
      <c r="E106" s="169">
        <v>25</v>
      </c>
      <c r="F106" s="171"/>
      <c r="G106" s="30" t="str">
        <f>IF(E106="", G106, E106 &amp; "." &amp; 1)</f>
        <v>25.1</v>
      </c>
      <c r="H106" s="63"/>
      <c r="I106" s="26"/>
      <c r="J106" s="26"/>
      <c r="K106" s="26"/>
      <c r="L106" s="26"/>
      <c r="M106" s="26"/>
      <c r="N106" s="51"/>
      <c r="O106" s="51">
        <f t="shared" si="5"/>
        <v>0</v>
      </c>
      <c r="P106" s="64">
        <f t="shared" si="6"/>
        <v>0</v>
      </c>
    </row>
    <row r="107" spans="1:16" x14ac:dyDescent="0.25">
      <c r="A107" s="56"/>
      <c r="B107" s="142"/>
      <c r="C107" s="10"/>
      <c r="D107" s="10"/>
      <c r="E107" s="169"/>
      <c r="F107" s="171"/>
      <c r="G107" s="30" t="str">
        <f>IF(E106="", G106, E106 &amp; "." &amp; 2)</f>
        <v>25.2</v>
      </c>
      <c r="H107" s="55"/>
      <c r="I107" s="10"/>
      <c r="J107" s="10"/>
      <c r="K107" s="10"/>
      <c r="L107" s="10"/>
      <c r="M107" s="10"/>
      <c r="N107" s="54"/>
      <c r="O107" s="54">
        <f t="shared" si="5"/>
        <v>0</v>
      </c>
      <c r="P107" s="52">
        <f t="shared" si="6"/>
        <v>0</v>
      </c>
    </row>
    <row r="108" spans="1:16" x14ac:dyDescent="0.25">
      <c r="A108" s="56"/>
      <c r="B108" s="142"/>
      <c r="C108" s="10"/>
      <c r="D108" s="10"/>
      <c r="E108" s="169"/>
      <c r="F108" s="171"/>
      <c r="G108" s="30" t="str">
        <f>IF(E106="", G106, E106 &amp; "." &amp; 3)</f>
        <v>25.3</v>
      </c>
      <c r="H108" s="55"/>
      <c r="I108" s="10"/>
      <c r="J108" s="10"/>
      <c r="K108" s="10"/>
      <c r="L108" s="10"/>
      <c r="M108" s="10"/>
      <c r="N108" s="54"/>
      <c r="O108" s="54">
        <f t="shared" si="5"/>
        <v>0</v>
      </c>
      <c r="P108" s="52">
        <f t="shared" si="6"/>
        <v>0</v>
      </c>
    </row>
    <row r="109" spans="1:16" x14ac:dyDescent="0.25">
      <c r="A109" s="56"/>
      <c r="B109" s="142"/>
      <c r="C109" s="10"/>
      <c r="D109" s="10"/>
      <c r="E109" s="169"/>
      <c r="F109" s="172"/>
      <c r="G109" s="30" t="str">
        <f>IF(E106="", G106, E106 &amp; "." &amp; 4)</f>
        <v>25.4</v>
      </c>
      <c r="H109" s="55"/>
      <c r="I109" s="10"/>
      <c r="J109" s="10"/>
      <c r="K109" s="10"/>
      <c r="L109" s="10"/>
      <c r="M109" s="10"/>
      <c r="N109" s="54"/>
      <c r="O109" s="54">
        <f t="shared" si="5"/>
        <v>0</v>
      </c>
      <c r="P109" s="52">
        <f t="shared" si="6"/>
        <v>0</v>
      </c>
    </row>
    <row r="110" spans="1:16" x14ac:dyDescent="0.25">
      <c r="A110" s="56"/>
      <c r="B110" s="142"/>
      <c r="C110" s="10"/>
      <c r="D110" s="10"/>
      <c r="E110" s="169">
        <v>26</v>
      </c>
      <c r="F110" s="170"/>
      <c r="G110" s="30" t="str">
        <f>IF(E110="", G110, E110 &amp; "." &amp; 1)</f>
        <v>26.1</v>
      </c>
      <c r="H110" s="55"/>
      <c r="I110" s="10"/>
      <c r="J110" s="10"/>
      <c r="K110" s="10"/>
      <c r="L110" s="10"/>
      <c r="M110" s="10"/>
      <c r="N110" s="54"/>
      <c r="O110" s="54">
        <f t="shared" si="5"/>
        <v>0</v>
      </c>
      <c r="P110" s="52">
        <f t="shared" si="6"/>
        <v>0</v>
      </c>
    </row>
    <row r="111" spans="1:16" x14ac:dyDescent="0.25">
      <c r="A111" s="56"/>
      <c r="B111" s="142"/>
      <c r="C111" s="10"/>
      <c r="D111" s="10"/>
      <c r="E111" s="169"/>
      <c r="F111" s="171"/>
      <c r="G111" s="30" t="str">
        <f>IF(E110="", G110, E110 &amp; "." &amp; 2)</f>
        <v>26.2</v>
      </c>
      <c r="H111" s="55"/>
      <c r="I111" s="10"/>
      <c r="J111" s="10"/>
      <c r="K111" s="10"/>
      <c r="L111" s="10"/>
      <c r="M111" s="10"/>
      <c r="N111" s="54"/>
      <c r="O111" s="54">
        <f t="shared" si="5"/>
        <v>0</v>
      </c>
      <c r="P111" s="52">
        <f t="shared" si="6"/>
        <v>0</v>
      </c>
    </row>
    <row r="112" spans="1:16" x14ac:dyDescent="0.25">
      <c r="A112" s="56"/>
      <c r="B112" s="142"/>
      <c r="C112" s="10"/>
      <c r="D112" s="10"/>
      <c r="E112" s="169"/>
      <c r="F112" s="171"/>
      <c r="G112" s="30" t="str">
        <f>IF(E110="", G110, E110 &amp; "." &amp; 3)</f>
        <v>26.3</v>
      </c>
      <c r="H112" s="55"/>
      <c r="I112" s="10"/>
      <c r="J112" s="10"/>
      <c r="K112" s="10"/>
      <c r="L112" s="10"/>
      <c r="M112" s="10"/>
      <c r="N112" s="54"/>
      <c r="O112" s="54">
        <f t="shared" si="5"/>
        <v>0</v>
      </c>
      <c r="P112" s="52">
        <f t="shared" si="6"/>
        <v>0</v>
      </c>
    </row>
    <row r="113" spans="1:16" x14ac:dyDescent="0.25">
      <c r="A113" s="56"/>
      <c r="B113" s="142"/>
      <c r="C113" s="10"/>
      <c r="D113" s="10"/>
      <c r="E113" s="169"/>
      <c r="F113" s="172"/>
      <c r="G113" s="30" t="str">
        <f>IF(E110="", G110, E110 &amp; "." &amp; 4)</f>
        <v>26.4</v>
      </c>
      <c r="H113" s="55"/>
      <c r="I113" s="10"/>
      <c r="J113" s="10"/>
      <c r="K113" s="10"/>
      <c r="L113" s="10"/>
      <c r="M113" s="10"/>
      <c r="N113" s="54"/>
      <c r="O113" s="54">
        <f t="shared" si="5"/>
        <v>0</v>
      </c>
      <c r="P113" s="52">
        <f t="shared" si="6"/>
        <v>0</v>
      </c>
    </row>
    <row r="114" spans="1:16" x14ac:dyDescent="0.25">
      <c r="A114" s="56"/>
      <c r="B114" s="142"/>
      <c r="C114" s="10"/>
      <c r="D114" s="10"/>
      <c r="E114" s="169">
        <v>27</v>
      </c>
      <c r="F114" s="170"/>
      <c r="G114" s="30" t="str">
        <f>IF(E114="", G114, E114 &amp; "." &amp; 1)</f>
        <v>27.1</v>
      </c>
      <c r="H114" s="55"/>
      <c r="I114" s="10"/>
      <c r="J114" s="10"/>
      <c r="K114" s="10"/>
      <c r="L114" s="10"/>
      <c r="M114" s="10"/>
      <c r="N114" s="54"/>
      <c r="O114" s="54">
        <f t="shared" si="5"/>
        <v>0</v>
      </c>
      <c r="P114" s="52">
        <f t="shared" si="6"/>
        <v>0</v>
      </c>
    </row>
    <row r="115" spans="1:16" x14ac:dyDescent="0.25">
      <c r="A115" s="56"/>
      <c r="B115" s="142"/>
      <c r="C115" s="10"/>
      <c r="D115" s="10"/>
      <c r="E115" s="169"/>
      <c r="F115" s="171"/>
      <c r="G115" s="30" t="str">
        <f>IF(E114="", G114, E114 &amp; "." &amp; 2)</f>
        <v>27.2</v>
      </c>
      <c r="H115" s="55"/>
      <c r="I115" s="10"/>
      <c r="J115" s="10"/>
      <c r="K115" s="10"/>
      <c r="L115" s="10"/>
      <c r="M115" s="10"/>
      <c r="N115" s="54"/>
      <c r="O115" s="54">
        <f t="shared" si="5"/>
        <v>0</v>
      </c>
      <c r="P115" s="52">
        <f t="shared" si="6"/>
        <v>0</v>
      </c>
    </row>
    <row r="116" spans="1:16" x14ac:dyDescent="0.25">
      <c r="A116" s="56"/>
      <c r="B116" s="142"/>
      <c r="C116" s="10"/>
      <c r="D116" s="10"/>
      <c r="E116" s="169"/>
      <c r="F116" s="171"/>
      <c r="G116" s="30" t="str">
        <f>IF(E114="", G114, E114 &amp; "." &amp; 3)</f>
        <v>27.3</v>
      </c>
      <c r="H116" s="55"/>
      <c r="I116" s="10"/>
      <c r="J116" s="10"/>
      <c r="K116" s="10"/>
      <c r="L116" s="10"/>
      <c r="M116" s="10"/>
      <c r="N116" s="54"/>
      <c r="O116" s="54">
        <f t="shared" si="5"/>
        <v>0</v>
      </c>
      <c r="P116" s="52">
        <f t="shared" si="6"/>
        <v>0</v>
      </c>
    </row>
    <row r="117" spans="1:16" x14ac:dyDescent="0.25">
      <c r="A117" s="56"/>
      <c r="B117" s="142"/>
      <c r="C117" s="10"/>
      <c r="D117" s="10"/>
      <c r="E117" s="169"/>
      <c r="F117" s="172"/>
      <c r="G117" s="30" t="str">
        <f>IF(E114="", G114, E114 &amp; "." &amp; 4)</f>
        <v>27.4</v>
      </c>
      <c r="H117" s="55"/>
      <c r="I117" s="10"/>
      <c r="J117" s="10"/>
      <c r="K117" s="10"/>
      <c r="L117" s="10"/>
      <c r="M117" s="10"/>
      <c r="N117" s="54"/>
      <c r="O117" s="54">
        <f t="shared" si="5"/>
        <v>0</v>
      </c>
      <c r="P117" s="52">
        <f t="shared" si="6"/>
        <v>0</v>
      </c>
    </row>
    <row r="118" spans="1:16" x14ac:dyDescent="0.25">
      <c r="A118" s="56"/>
      <c r="B118" s="142"/>
      <c r="C118" s="10"/>
      <c r="D118" s="10"/>
      <c r="E118" s="169">
        <v>28</v>
      </c>
      <c r="F118" s="170"/>
      <c r="G118" s="30" t="str">
        <f>IF(E118="", G118, E118 &amp; "." &amp; 1)</f>
        <v>28.1</v>
      </c>
      <c r="H118" s="55"/>
      <c r="I118" s="10"/>
      <c r="J118" s="10"/>
      <c r="K118" s="10"/>
      <c r="L118" s="10"/>
      <c r="M118" s="10"/>
      <c r="N118" s="54"/>
      <c r="O118" s="54">
        <f t="shared" si="5"/>
        <v>0</v>
      </c>
      <c r="P118" s="52">
        <f t="shared" si="6"/>
        <v>0</v>
      </c>
    </row>
    <row r="119" spans="1:16" x14ac:dyDescent="0.25">
      <c r="A119" s="56"/>
      <c r="B119" s="142"/>
      <c r="C119" s="10"/>
      <c r="D119" s="10"/>
      <c r="E119" s="169"/>
      <c r="F119" s="171"/>
      <c r="G119" s="30" t="str">
        <f>IF(E118="", G118, E118 &amp; "." &amp; 2)</f>
        <v>28.2</v>
      </c>
      <c r="H119" s="55"/>
      <c r="I119" s="10"/>
      <c r="J119" s="10"/>
      <c r="K119" s="10"/>
      <c r="L119" s="10"/>
      <c r="M119" s="10"/>
      <c r="N119" s="54"/>
      <c r="O119" s="54">
        <f t="shared" si="5"/>
        <v>0</v>
      </c>
      <c r="P119" s="52">
        <f t="shared" si="6"/>
        <v>0</v>
      </c>
    </row>
    <row r="120" spans="1:16" x14ac:dyDescent="0.25">
      <c r="A120" s="56"/>
      <c r="B120" s="142"/>
      <c r="C120" s="10"/>
      <c r="D120" s="10"/>
      <c r="E120" s="169"/>
      <c r="F120" s="171"/>
      <c r="G120" s="30" t="str">
        <f>IF(E118="", G118, E118 &amp; "." &amp; 3)</f>
        <v>28.3</v>
      </c>
      <c r="H120" s="55"/>
      <c r="I120" s="10"/>
      <c r="J120" s="10"/>
      <c r="K120" s="10"/>
      <c r="L120" s="10"/>
      <c r="M120" s="10"/>
      <c r="N120" s="54"/>
      <c r="O120" s="54">
        <f t="shared" si="5"/>
        <v>0</v>
      </c>
      <c r="P120" s="52">
        <f t="shared" si="6"/>
        <v>0</v>
      </c>
    </row>
    <row r="121" spans="1:16" x14ac:dyDescent="0.25">
      <c r="A121" s="56"/>
      <c r="B121" s="142"/>
      <c r="C121" s="10"/>
      <c r="D121" s="10"/>
      <c r="E121" s="169"/>
      <c r="F121" s="172"/>
      <c r="G121" s="30" t="str">
        <f>IF(E118="", G118, E118 &amp; "." &amp; 4)</f>
        <v>28.4</v>
      </c>
      <c r="H121" s="55"/>
      <c r="I121" s="10"/>
      <c r="J121" s="10"/>
      <c r="K121" s="10"/>
      <c r="L121" s="10"/>
      <c r="M121" s="10"/>
      <c r="N121" s="54"/>
      <c r="O121" s="54">
        <f t="shared" si="5"/>
        <v>0</v>
      </c>
      <c r="P121" s="52">
        <f t="shared" si="6"/>
        <v>0</v>
      </c>
    </row>
    <row r="122" spans="1:16" x14ac:dyDescent="0.25">
      <c r="A122" s="62"/>
      <c r="B122" s="150"/>
      <c r="C122" s="26"/>
      <c r="D122" s="26"/>
      <c r="E122" s="172">
        <v>29</v>
      </c>
      <c r="F122" s="171"/>
      <c r="G122" s="34" t="str">
        <f>IF(E122="", G122, E122 &amp; "." &amp; 1)</f>
        <v>29.1</v>
      </c>
      <c r="H122" s="63"/>
      <c r="I122" s="26"/>
      <c r="J122" s="26"/>
      <c r="K122" s="26"/>
      <c r="L122" s="26"/>
      <c r="M122" s="26"/>
      <c r="N122" s="51"/>
      <c r="O122" s="51">
        <f t="shared" si="5"/>
        <v>0</v>
      </c>
      <c r="P122" s="64">
        <f t="shared" si="6"/>
        <v>0</v>
      </c>
    </row>
    <row r="123" spans="1:16" x14ac:dyDescent="0.25">
      <c r="A123" s="56"/>
      <c r="B123" s="142"/>
      <c r="C123" s="10"/>
      <c r="D123" s="10"/>
      <c r="E123" s="169"/>
      <c r="F123" s="171"/>
      <c r="G123" s="30" t="str">
        <f>IF(E122="", G122, E122 &amp; "." &amp; 2)</f>
        <v>29.2</v>
      </c>
      <c r="H123" s="55"/>
      <c r="I123" s="10"/>
      <c r="J123" s="10"/>
      <c r="K123" s="10"/>
      <c r="L123" s="10"/>
      <c r="M123" s="10"/>
      <c r="N123" s="54"/>
      <c r="O123" s="54">
        <f t="shared" si="5"/>
        <v>0</v>
      </c>
      <c r="P123" s="52">
        <f t="shared" si="6"/>
        <v>0</v>
      </c>
    </row>
    <row r="124" spans="1:16" x14ac:dyDescent="0.25">
      <c r="A124" s="56"/>
      <c r="B124" s="142"/>
      <c r="C124" s="10"/>
      <c r="D124" s="10"/>
      <c r="E124" s="169"/>
      <c r="F124" s="171"/>
      <c r="G124" s="30" t="str">
        <f>IF(E122="", G122, E122 &amp; "." &amp; 3)</f>
        <v>29.3</v>
      </c>
      <c r="H124" s="55"/>
      <c r="I124" s="10"/>
      <c r="J124" s="10"/>
      <c r="K124" s="10"/>
      <c r="L124" s="10"/>
      <c r="M124" s="10"/>
      <c r="N124" s="54"/>
      <c r="O124" s="54">
        <f t="shared" si="5"/>
        <v>0</v>
      </c>
      <c r="P124" s="52">
        <f t="shared" si="6"/>
        <v>0</v>
      </c>
    </row>
    <row r="125" spans="1:16" ht="15.75" thickBot="1" x14ac:dyDescent="0.3">
      <c r="A125" s="132"/>
      <c r="B125" s="151"/>
      <c r="C125" s="133"/>
      <c r="D125" s="133"/>
      <c r="E125" s="189"/>
      <c r="F125" s="173"/>
      <c r="G125" s="247" t="str">
        <f>IF(E122="", G122, E122 &amp; "." &amp; 4)</f>
        <v>29.4</v>
      </c>
      <c r="H125" s="134"/>
      <c r="I125" s="133"/>
      <c r="J125" s="133"/>
      <c r="K125" s="133"/>
      <c r="L125" s="133"/>
      <c r="M125" s="133"/>
      <c r="N125" s="135"/>
      <c r="O125" s="135">
        <f t="shared" si="5"/>
        <v>0</v>
      </c>
      <c r="P125" s="53">
        <f t="shared" si="6"/>
        <v>0</v>
      </c>
    </row>
    <row r="126" spans="1:16" ht="25.5" customHeight="1" x14ac:dyDescent="0.25">
      <c r="A126" s="161" t="s">
        <v>219</v>
      </c>
      <c r="B126" s="147"/>
      <c r="C126" s="163" t="s">
        <v>321</v>
      </c>
      <c r="D126" s="163" t="s">
        <v>343</v>
      </c>
      <c r="E126" s="175" t="s">
        <v>338</v>
      </c>
      <c r="F126" s="176"/>
      <c r="G126" s="57"/>
      <c r="H126" s="163" t="s">
        <v>325</v>
      </c>
      <c r="I126" s="163" t="s">
        <v>332</v>
      </c>
      <c r="J126" s="163" t="s">
        <v>326</v>
      </c>
      <c r="K126" s="163" t="s">
        <v>337</v>
      </c>
      <c r="L126" s="192" t="s">
        <v>331</v>
      </c>
      <c r="M126" s="193"/>
      <c r="N126" s="194"/>
      <c r="O126" s="163" t="s">
        <v>329</v>
      </c>
      <c r="P126" s="190" t="s">
        <v>330</v>
      </c>
    </row>
    <row r="127" spans="1:16" ht="15.75" thickBot="1" x14ac:dyDescent="0.3">
      <c r="A127" s="162"/>
      <c r="B127" s="148"/>
      <c r="C127" s="164"/>
      <c r="D127" s="164"/>
      <c r="E127" s="177"/>
      <c r="F127" s="174"/>
      <c r="G127" s="58"/>
      <c r="H127" s="164"/>
      <c r="I127" s="164"/>
      <c r="J127" s="164"/>
      <c r="K127" s="164"/>
      <c r="L127" s="41" t="s">
        <v>322</v>
      </c>
      <c r="M127" s="41" t="s">
        <v>323</v>
      </c>
      <c r="N127" s="41" t="s">
        <v>324</v>
      </c>
      <c r="O127" s="164"/>
      <c r="P127" s="191"/>
    </row>
    <row r="128" spans="1:16" ht="15.75" thickTop="1" x14ac:dyDescent="0.25">
      <c r="A128" s="32"/>
      <c r="B128" s="149"/>
      <c r="C128" s="33"/>
      <c r="D128" s="40"/>
      <c r="E128" s="170">
        <v>30</v>
      </c>
      <c r="F128" s="170"/>
      <c r="G128" s="30" t="str">
        <f>IF(E128="", G128, E128 &amp; "." &amp; 1)</f>
        <v>30.1</v>
      </c>
      <c r="H128" s="43"/>
      <c r="I128" s="33"/>
      <c r="J128" s="29"/>
      <c r="K128" s="29"/>
      <c r="L128" s="35"/>
      <c r="M128" s="35"/>
      <c r="N128" s="35"/>
      <c r="O128" s="51">
        <f t="shared" ref="O128:O187" si="7">IFERROR(IF(J128="Man",AVERAGE(L128:N128)*K128)/I128,0)</f>
        <v>0</v>
      </c>
      <c r="P128" s="52">
        <f t="shared" ref="P128:P187" si="8">IFERROR(IF(J128="Machine",(AVERAGE(L128:N128)/I128)/60,0),0)</f>
        <v>0</v>
      </c>
    </row>
    <row r="129" spans="1:16" x14ac:dyDescent="0.25">
      <c r="A129" s="32"/>
      <c r="B129" s="149"/>
      <c r="C129" s="33"/>
      <c r="D129" s="61"/>
      <c r="E129" s="171"/>
      <c r="F129" s="171"/>
      <c r="G129" s="30" t="str">
        <f>IF(E128="", G128, E128 &amp; "." &amp; 2)</f>
        <v>30.2</v>
      </c>
      <c r="H129" s="43"/>
      <c r="I129" s="33"/>
      <c r="J129" s="29"/>
      <c r="K129" s="29"/>
      <c r="L129" s="35"/>
      <c r="M129" s="35"/>
      <c r="N129" s="35"/>
      <c r="O129" s="51">
        <f t="shared" si="7"/>
        <v>0</v>
      </c>
      <c r="P129" s="52">
        <f t="shared" si="8"/>
        <v>0</v>
      </c>
    </row>
    <row r="130" spans="1:16" x14ac:dyDescent="0.25">
      <c r="A130" s="32"/>
      <c r="B130" s="149"/>
      <c r="C130" s="33"/>
      <c r="D130" s="61"/>
      <c r="E130" s="171"/>
      <c r="F130" s="171"/>
      <c r="G130" s="30" t="str">
        <f>IF(E128="", G128, E128 &amp; "." &amp; 3)</f>
        <v>30.3</v>
      </c>
      <c r="H130" s="43"/>
      <c r="I130" s="33"/>
      <c r="J130" s="29"/>
      <c r="K130" s="29"/>
      <c r="L130" s="35"/>
      <c r="M130" s="35"/>
      <c r="N130" s="35"/>
      <c r="O130" s="51">
        <f t="shared" si="7"/>
        <v>0</v>
      </c>
      <c r="P130" s="52">
        <f t="shared" si="8"/>
        <v>0</v>
      </c>
    </row>
    <row r="131" spans="1:16" x14ac:dyDescent="0.25">
      <c r="A131" s="32"/>
      <c r="B131" s="149"/>
      <c r="C131" s="33"/>
      <c r="D131" s="61"/>
      <c r="E131" s="171"/>
      <c r="F131" s="172"/>
      <c r="G131" s="30" t="str">
        <f>IF(E128="", G128, E128 &amp; "." &amp; 4)</f>
        <v>30.4</v>
      </c>
      <c r="H131" s="43"/>
      <c r="I131" s="33"/>
      <c r="J131" s="29"/>
      <c r="K131" s="29"/>
      <c r="L131" s="35"/>
      <c r="M131" s="35"/>
      <c r="N131" s="35"/>
      <c r="O131" s="51">
        <f t="shared" si="7"/>
        <v>0</v>
      </c>
      <c r="P131" s="52">
        <f t="shared" si="8"/>
        <v>0</v>
      </c>
    </row>
    <row r="132" spans="1:16" x14ac:dyDescent="0.25">
      <c r="A132" s="32"/>
      <c r="B132" s="149"/>
      <c r="C132" s="33"/>
      <c r="D132" s="40"/>
      <c r="E132" s="170">
        <v>31</v>
      </c>
      <c r="F132" s="170"/>
      <c r="G132" s="30" t="str">
        <f>IF(E132="", G132, E132 &amp; "." &amp; 1)</f>
        <v>31.1</v>
      </c>
      <c r="H132" s="43"/>
      <c r="I132" s="33"/>
      <c r="J132" s="29"/>
      <c r="K132" s="29"/>
      <c r="L132" s="35"/>
      <c r="M132" s="35"/>
      <c r="N132" s="35"/>
      <c r="O132" s="51">
        <f t="shared" si="7"/>
        <v>0</v>
      </c>
      <c r="P132" s="52">
        <f t="shared" si="8"/>
        <v>0</v>
      </c>
    </row>
    <row r="133" spans="1:16" x14ac:dyDescent="0.25">
      <c r="A133" s="32"/>
      <c r="B133" s="149"/>
      <c r="C133" s="33"/>
      <c r="D133" s="61"/>
      <c r="E133" s="171"/>
      <c r="F133" s="171"/>
      <c r="G133" s="30" t="str">
        <f>IF(E132="", G132, E132 &amp; "." &amp; 2)</f>
        <v>31.2</v>
      </c>
      <c r="H133" s="43"/>
      <c r="I133" s="33"/>
      <c r="J133" s="29"/>
      <c r="K133" s="29"/>
      <c r="L133" s="35"/>
      <c r="M133" s="35"/>
      <c r="N133" s="35"/>
      <c r="O133" s="51">
        <f t="shared" si="7"/>
        <v>0</v>
      </c>
      <c r="P133" s="52">
        <f t="shared" si="8"/>
        <v>0</v>
      </c>
    </row>
    <row r="134" spans="1:16" x14ac:dyDescent="0.25">
      <c r="A134" s="32"/>
      <c r="B134" s="149"/>
      <c r="C134" s="33"/>
      <c r="D134" s="61"/>
      <c r="E134" s="171"/>
      <c r="F134" s="171"/>
      <c r="G134" s="30" t="str">
        <f>IF(E132="", G132, E132 &amp; "." &amp; 3)</f>
        <v>31.3</v>
      </c>
      <c r="H134" s="43"/>
      <c r="I134" s="33"/>
      <c r="J134" s="29"/>
      <c r="K134" s="29"/>
      <c r="L134" s="35"/>
      <c r="M134" s="35"/>
      <c r="N134" s="35"/>
      <c r="O134" s="51">
        <f t="shared" si="7"/>
        <v>0</v>
      </c>
      <c r="P134" s="52">
        <f t="shared" si="8"/>
        <v>0</v>
      </c>
    </row>
    <row r="135" spans="1:16" x14ac:dyDescent="0.25">
      <c r="A135" s="32"/>
      <c r="B135" s="149"/>
      <c r="C135" s="33"/>
      <c r="D135" s="61"/>
      <c r="E135" s="171"/>
      <c r="F135" s="172"/>
      <c r="G135" s="30" t="str">
        <f>IF(E132="", G132, E132 &amp; "." &amp; 4)</f>
        <v>31.4</v>
      </c>
      <c r="H135" s="43"/>
      <c r="I135" s="33"/>
      <c r="J135" s="29"/>
      <c r="K135" s="29"/>
      <c r="L135" s="35"/>
      <c r="M135" s="35"/>
      <c r="N135" s="35"/>
      <c r="O135" s="51">
        <f t="shared" si="7"/>
        <v>0</v>
      </c>
      <c r="P135" s="52">
        <f t="shared" si="8"/>
        <v>0</v>
      </c>
    </row>
    <row r="136" spans="1:16" x14ac:dyDescent="0.25">
      <c r="A136" s="32"/>
      <c r="B136" s="149"/>
      <c r="C136" s="33"/>
      <c r="D136" s="40"/>
      <c r="E136" s="170">
        <v>32</v>
      </c>
      <c r="F136" s="170"/>
      <c r="G136" s="30" t="str">
        <f>IF(E136="", G136, E136 &amp; "." &amp; 1)</f>
        <v>32.1</v>
      </c>
      <c r="H136" s="43"/>
      <c r="I136" s="33"/>
      <c r="J136" s="29"/>
      <c r="K136" s="29"/>
      <c r="L136" s="35"/>
      <c r="M136" s="35"/>
      <c r="N136" s="35"/>
      <c r="O136" s="51">
        <f t="shared" si="7"/>
        <v>0</v>
      </c>
      <c r="P136" s="52">
        <f t="shared" si="8"/>
        <v>0</v>
      </c>
    </row>
    <row r="137" spans="1:16" x14ac:dyDescent="0.25">
      <c r="A137" s="32"/>
      <c r="B137" s="149"/>
      <c r="C137" s="33"/>
      <c r="D137" s="61"/>
      <c r="E137" s="171"/>
      <c r="F137" s="171"/>
      <c r="G137" s="30" t="str">
        <f>IF(E136="", G136, E136 &amp; "." &amp; 2)</f>
        <v>32.2</v>
      </c>
      <c r="H137" s="43"/>
      <c r="I137" s="33"/>
      <c r="J137" s="29"/>
      <c r="K137" s="29"/>
      <c r="L137" s="35"/>
      <c r="M137" s="35"/>
      <c r="N137" s="35"/>
      <c r="O137" s="51">
        <f t="shared" si="7"/>
        <v>0</v>
      </c>
      <c r="P137" s="52">
        <f t="shared" si="8"/>
        <v>0</v>
      </c>
    </row>
    <row r="138" spans="1:16" x14ac:dyDescent="0.25">
      <c r="A138" s="32"/>
      <c r="B138" s="149"/>
      <c r="C138" s="33"/>
      <c r="D138" s="61"/>
      <c r="E138" s="171"/>
      <c r="F138" s="171"/>
      <c r="G138" s="30" t="str">
        <f>IF(E136="", G136, E136 &amp; "." &amp; 3)</f>
        <v>32.3</v>
      </c>
      <c r="H138" s="43"/>
      <c r="I138" s="33"/>
      <c r="J138" s="29"/>
      <c r="K138" s="29"/>
      <c r="L138" s="35"/>
      <c r="M138" s="35"/>
      <c r="N138" s="35"/>
      <c r="O138" s="51">
        <f t="shared" si="7"/>
        <v>0</v>
      </c>
      <c r="P138" s="52">
        <f t="shared" si="8"/>
        <v>0</v>
      </c>
    </row>
    <row r="139" spans="1:16" x14ac:dyDescent="0.25">
      <c r="A139" s="32"/>
      <c r="B139" s="149"/>
      <c r="C139" s="33"/>
      <c r="D139" s="61"/>
      <c r="E139" s="171"/>
      <c r="F139" s="172"/>
      <c r="G139" s="30" t="str">
        <f>IF(E136="", G136, E136 &amp; "." &amp; 4)</f>
        <v>32.4</v>
      </c>
      <c r="H139" s="43"/>
      <c r="I139" s="33"/>
      <c r="J139" s="29"/>
      <c r="K139" s="29"/>
      <c r="L139" s="35"/>
      <c r="M139" s="35"/>
      <c r="N139" s="35"/>
      <c r="O139" s="51">
        <f t="shared" si="7"/>
        <v>0</v>
      </c>
      <c r="P139" s="52">
        <f t="shared" si="8"/>
        <v>0</v>
      </c>
    </row>
    <row r="140" spans="1:16" x14ac:dyDescent="0.25">
      <c r="A140" s="32"/>
      <c r="B140" s="149"/>
      <c r="C140" s="33"/>
      <c r="D140" s="40"/>
      <c r="E140" s="170">
        <v>33</v>
      </c>
      <c r="F140" s="170"/>
      <c r="G140" s="30" t="str">
        <f>IF(E140="", G140, E140 &amp; "." &amp; 1)</f>
        <v>33.1</v>
      </c>
      <c r="H140" s="43"/>
      <c r="I140" s="33"/>
      <c r="J140" s="29"/>
      <c r="K140" s="29"/>
      <c r="L140" s="35"/>
      <c r="M140" s="35"/>
      <c r="N140" s="35"/>
      <c r="O140" s="51">
        <f t="shared" si="7"/>
        <v>0</v>
      </c>
      <c r="P140" s="52">
        <f t="shared" si="8"/>
        <v>0</v>
      </c>
    </row>
    <row r="141" spans="1:16" x14ac:dyDescent="0.25">
      <c r="A141" s="32"/>
      <c r="B141" s="149"/>
      <c r="C141" s="33"/>
      <c r="D141" s="61"/>
      <c r="E141" s="171"/>
      <c r="F141" s="171"/>
      <c r="G141" s="30" t="str">
        <f>IF(E140="", G140, E140 &amp; "." &amp; 2)</f>
        <v>33.2</v>
      </c>
      <c r="H141" s="43"/>
      <c r="I141" s="33"/>
      <c r="J141" s="29"/>
      <c r="K141" s="29"/>
      <c r="L141" s="35"/>
      <c r="M141" s="35"/>
      <c r="N141" s="35"/>
      <c r="O141" s="51">
        <f t="shared" si="7"/>
        <v>0</v>
      </c>
      <c r="P141" s="52">
        <f t="shared" si="8"/>
        <v>0</v>
      </c>
    </row>
    <row r="142" spans="1:16" x14ac:dyDescent="0.25">
      <c r="A142" s="32"/>
      <c r="B142" s="149"/>
      <c r="C142" s="33"/>
      <c r="D142" s="61"/>
      <c r="E142" s="171"/>
      <c r="F142" s="171"/>
      <c r="G142" s="30" t="str">
        <f>IF(E140="", G140, E140 &amp; "." &amp; 3)</f>
        <v>33.3</v>
      </c>
      <c r="H142" s="43"/>
      <c r="I142" s="33"/>
      <c r="J142" s="29"/>
      <c r="K142" s="29"/>
      <c r="L142" s="35"/>
      <c r="M142" s="35"/>
      <c r="N142" s="35"/>
      <c r="O142" s="51">
        <f t="shared" si="7"/>
        <v>0</v>
      </c>
      <c r="P142" s="52">
        <f t="shared" si="8"/>
        <v>0</v>
      </c>
    </row>
    <row r="143" spans="1:16" x14ac:dyDescent="0.25">
      <c r="A143" s="32"/>
      <c r="B143" s="149"/>
      <c r="C143" s="33"/>
      <c r="D143" s="61"/>
      <c r="E143" s="171"/>
      <c r="F143" s="172"/>
      <c r="G143" s="30" t="str">
        <f>IF(E140="", G140, E140 &amp; "." &amp; 4)</f>
        <v>33.4</v>
      </c>
      <c r="H143" s="43"/>
      <c r="I143" s="33"/>
      <c r="J143" s="29"/>
      <c r="K143" s="29"/>
      <c r="L143" s="35"/>
      <c r="M143" s="35"/>
      <c r="N143" s="35"/>
      <c r="O143" s="51">
        <f t="shared" si="7"/>
        <v>0</v>
      </c>
      <c r="P143" s="52">
        <f t="shared" si="8"/>
        <v>0</v>
      </c>
    </row>
    <row r="144" spans="1:16" x14ac:dyDescent="0.25">
      <c r="A144" s="32"/>
      <c r="B144" s="149"/>
      <c r="C144" s="33"/>
      <c r="D144" s="33"/>
      <c r="E144" s="170">
        <v>34</v>
      </c>
      <c r="F144" s="170"/>
      <c r="G144" s="30" t="str">
        <f>IF(E144="", G144, E144 &amp; "." &amp; 1)</f>
        <v>34.1</v>
      </c>
      <c r="H144" s="43"/>
      <c r="I144" s="33"/>
      <c r="J144" s="33"/>
      <c r="K144" s="33"/>
      <c r="L144" s="35"/>
      <c r="M144" s="35"/>
      <c r="N144" s="35"/>
      <c r="O144" s="54">
        <f t="shared" si="7"/>
        <v>0</v>
      </c>
      <c r="P144" s="52">
        <f t="shared" si="8"/>
        <v>0</v>
      </c>
    </row>
    <row r="145" spans="1:16" x14ac:dyDescent="0.25">
      <c r="A145" s="32"/>
      <c r="B145" s="149"/>
      <c r="C145" s="33"/>
      <c r="D145" s="33"/>
      <c r="E145" s="171"/>
      <c r="F145" s="171"/>
      <c r="G145" s="30" t="str">
        <f>IF(E144="", G144, E144 &amp; "." &amp; 2)</f>
        <v>34.2</v>
      </c>
      <c r="H145" s="43"/>
      <c r="I145" s="33"/>
      <c r="J145" s="33"/>
      <c r="K145" s="33"/>
      <c r="L145" s="35"/>
      <c r="M145" s="35"/>
      <c r="N145" s="35"/>
      <c r="O145" s="54">
        <f t="shared" si="7"/>
        <v>0</v>
      </c>
      <c r="P145" s="52">
        <f t="shared" si="8"/>
        <v>0</v>
      </c>
    </row>
    <row r="146" spans="1:16" x14ac:dyDescent="0.25">
      <c r="A146" s="32"/>
      <c r="B146" s="149"/>
      <c r="C146" s="33"/>
      <c r="D146" s="33"/>
      <c r="E146" s="171"/>
      <c r="F146" s="171"/>
      <c r="G146" s="30" t="str">
        <f>IF(E144="", G144, E144 &amp; "." &amp; 3)</f>
        <v>34.3</v>
      </c>
      <c r="H146" s="43"/>
      <c r="I146" s="33"/>
      <c r="J146" s="33"/>
      <c r="K146" s="33"/>
      <c r="L146" s="35"/>
      <c r="M146" s="35"/>
      <c r="N146" s="35"/>
      <c r="O146" s="54">
        <f t="shared" si="7"/>
        <v>0</v>
      </c>
      <c r="P146" s="52">
        <f t="shared" si="8"/>
        <v>0</v>
      </c>
    </row>
    <row r="147" spans="1:16" x14ac:dyDescent="0.25">
      <c r="A147" s="56"/>
      <c r="B147" s="142"/>
      <c r="C147" s="10"/>
      <c r="D147" s="10"/>
      <c r="E147" s="171"/>
      <c r="F147" s="172"/>
      <c r="G147" s="30" t="str">
        <f>IF(E144="", G144, E144 &amp; "." &amp; 4)</f>
        <v>34.4</v>
      </c>
      <c r="H147" s="55"/>
      <c r="I147" s="10"/>
      <c r="J147" s="10"/>
      <c r="K147" s="10"/>
      <c r="L147" s="10"/>
      <c r="M147" s="10"/>
      <c r="N147" s="54"/>
      <c r="O147" s="54">
        <f t="shared" si="7"/>
        <v>0</v>
      </c>
      <c r="P147" s="52">
        <f t="shared" si="8"/>
        <v>0</v>
      </c>
    </row>
    <row r="148" spans="1:16" x14ac:dyDescent="0.25">
      <c r="A148" s="56"/>
      <c r="B148" s="142"/>
      <c r="C148" s="10"/>
      <c r="D148" s="10"/>
      <c r="E148" s="170">
        <v>35</v>
      </c>
      <c r="F148" s="170"/>
      <c r="G148" s="30" t="str">
        <f>IF(E148="", G148, E148 &amp; "." &amp; 1)</f>
        <v>35.1</v>
      </c>
      <c r="H148" s="55"/>
      <c r="I148" s="10"/>
      <c r="J148" s="10"/>
      <c r="K148" s="10"/>
      <c r="L148" s="10"/>
      <c r="M148" s="10"/>
      <c r="N148" s="54"/>
      <c r="O148" s="54">
        <f t="shared" si="7"/>
        <v>0</v>
      </c>
      <c r="P148" s="52">
        <f t="shared" si="8"/>
        <v>0</v>
      </c>
    </row>
    <row r="149" spans="1:16" x14ac:dyDescent="0.25">
      <c r="A149" s="56"/>
      <c r="B149" s="142"/>
      <c r="C149" s="10"/>
      <c r="D149" s="10"/>
      <c r="E149" s="171"/>
      <c r="F149" s="171"/>
      <c r="G149" s="30" t="str">
        <f>IF(E148="", G148, E148 &amp; "." &amp; 2)</f>
        <v>35.2</v>
      </c>
      <c r="H149" s="55"/>
      <c r="I149" s="10"/>
      <c r="J149" s="10"/>
      <c r="K149" s="10"/>
      <c r="L149" s="10"/>
      <c r="M149" s="10"/>
      <c r="N149" s="54"/>
      <c r="O149" s="54">
        <f t="shared" si="7"/>
        <v>0</v>
      </c>
      <c r="P149" s="52">
        <f t="shared" si="8"/>
        <v>0</v>
      </c>
    </row>
    <row r="150" spans="1:16" x14ac:dyDescent="0.25">
      <c r="A150" s="56"/>
      <c r="B150" s="142"/>
      <c r="C150" s="10"/>
      <c r="D150" s="10"/>
      <c r="E150" s="171"/>
      <c r="F150" s="171"/>
      <c r="G150" s="30" t="str">
        <f>IF(E148="", G148, E148 &amp; "." &amp; 3)</f>
        <v>35.3</v>
      </c>
      <c r="H150" s="55"/>
      <c r="I150" s="10"/>
      <c r="J150" s="10"/>
      <c r="K150" s="10"/>
      <c r="L150" s="10"/>
      <c r="M150" s="10"/>
      <c r="N150" s="54"/>
      <c r="O150" s="54">
        <f t="shared" si="7"/>
        <v>0</v>
      </c>
      <c r="P150" s="52">
        <f t="shared" si="8"/>
        <v>0</v>
      </c>
    </row>
    <row r="151" spans="1:16" x14ac:dyDescent="0.25">
      <c r="A151" s="56"/>
      <c r="B151" s="142"/>
      <c r="C151" s="10"/>
      <c r="D151" s="10"/>
      <c r="E151" s="171"/>
      <c r="F151" s="172"/>
      <c r="G151" s="30" t="str">
        <f>IF(E148="", G148, E148 &amp; "." &amp; 4)</f>
        <v>35.4</v>
      </c>
      <c r="H151" s="55"/>
      <c r="I151" s="10"/>
      <c r="J151" s="10"/>
      <c r="K151" s="10"/>
      <c r="L151" s="10"/>
      <c r="M151" s="10"/>
      <c r="N151" s="54"/>
      <c r="O151" s="54">
        <f t="shared" si="7"/>
        <v>0</v>
      </c>
      <c r="P151" s="52">
        <f t="shared" si="8"/>
        <v>0</v>
      </c>
    </row>
    <row r="152" spans="1:16" x14ac:dyDescent="0.25">
      <c r="A152" s="56"/>
      <c r="B152" s="142"/>
      <c r="C152" s="10"/>
      <c r="D152" s="10"/>
      <c r="E152" s="170">
        <v>36</v>
      </c>
      <c r="F152" s="170"/>
      <c r="G152" s="30" t="str">
        <f>IF(E152="", G152, E152 &amp; "." &amp; 1)</f>
        <v>36.1</v>
      </c>
      <c r="H152" s="55"/>
      <c r="I152" s="10"/>
      <c r="J152" s="10"/>
      <c r="K152" s="10"/>
      <c r="L152" s="10"/>
      <c r="M152" s="10"/>
      <c r="N152" s="54"/>
      <c r="O152" s="54">
        <f t="shared" si="7"/>
        <v>0</v>
      </c>
      <c r="P152" s="52">
        <f t="shared" si="8"/>
        <v>0</v>
      </c>
    </row>
    <row r="153" spans="1:16" x14ac:dyDescent="0.25">
      <c r="A153" s="56"/>
      <c r="B153" s="142"/>
      <c r="C153" s="10"/>
      <c r="D153" s="10"/>
      <c r="E153" s="171"/>
      <c r="F153" s="171"/>
      <c r="G153" s="30" t="str">
        <f>IF(E152="", G152, E152 &amp; "." &amp; 2)</f>
        <v>36.2</v>
      </c>
      <c r="H153" s="55"/>
      <c r="I153" s="10"/>
      <c r="J153" s="10"/>
      <c r="K153" s="10"/>
      <c r="L153" s="10"/>
      <c r="M153" s="10"/>
      <c r="N153" s="54"/>
      <c r="O153" s="54">
        <f t="shared" si="7"/>
        <v>0</v>
      </c>
      <c r="P153" s="52">
        <f t="shared" si="8"/>
        <v>0</v>
      </c>
    </row>
    <row r="154" spans="1:16" x14ac:dyDescent="0.25">
      <c r="A154" s="56"/>
      <c r="B154" s="142"/>
      <c r="C154" s="10"/>
      <c r="D154" s="10"/>
      <c r="E154" s="171"/>
      <c r="F154" s="171"/>
      <c r="G154" s="30" t="str">
        <f>IF(E152="", G152, E152 &amp; "." &amp; 3)</f>
        <v>36.3</v>
      </c>
      <c r="H154" s="55"/>
      <c r="I154" s="10"/>
      <c r="J154" s="10"/>
      <c r="K154" s="10"/>
      <c r="L154" s="10"/>
      <c r="M154" s="10"/>
      <c r="N154" s="54"/>
      <c r="O154" s="54">
        <f t="shared" si="7"/>
        <v>0</v>
      </c>
      <c r="P154" s="52">
        <f t="shared" si="8"/>
        <v>0</v>
      </c>
    </row>
    <row r="155" spans="1:16" x14ac:dyDescent="0.25">
      <c r="A155" s="56"/>
      <c r="B155" s="142"/>
      <c r="C155" s="10"/>
      <c r="D155" s="10"/>
      <c r="E155" s="171"/>
      <c r="F155" s="172"/>
      <c r="G155" s="30" t="str">
        <f>IF(E152="", G152, E152 &amp; "." &amp; 4)</f>
        <v>36.4</v>
      </c>
      <c r="H155" s="55"/>
      <c r="I155" s="10"/>
      <c r="J155" s="10"/>
      <c r="K155" s="10"/>
      <c r="L155" s="10"/>
      <c r="M155" s="10"/>
      <c r="N155" s="54"/>
      <c r="O155" s="54">
        <f t="shared" si="7"/>
        <v>0</v>
      </c>
      <c r="P155" s="52">
        <f t="shared" si="8"/>
        <v>0</v>
      </c>
    </row>
    <row r="156" spans="1:16" x14ac:dyDescent="0.25">
      <c r="A156" s="56"/>
      <c r="B156" s="142"/>
      <c r="C156" s="10"/>
      <c r="D156" s="10"/>
      <c r="E156" s="170">
        <v>37</v>
      </c>
      <c r="F156" s="170"/>
      <c r="G156" s="30" t="str">
        <f>IF(E156="", G156, E156 &amp; "." &amp; 1)</f>
        <v>37.1</v>
      </c>
      <c r="H156" s="55"/>
      <c r="I156" s="10"/>
      <c r="J156" s="10"/>
      <c r="K156" s="10"/>
      <c r="L156" s="10"/>
      <c r="M156" s="10"/>
      <c r="N156" s="54"/>
      <c r="O156" s="54">
        <f t="shared" si="7"/>
        <v>0</v>
      </c>
      <c r="P156" s="52">
        <f t="shared" si="8"/>
        <v>0</v>
      </c>
    </row>
    <row r="157" spans="1:16" x14ac:dyDescent="0.25">
      <c r="A157" s="56"/>
      <c r="B157" s="142"/>
      <c r="C157" s="10"/>
      <c r="D157" s="10"/>
      <c r="E157" s="171"/>
      <c r="F157" s="171"/>
      <c r="G157" s="30" t="str">
        <f>IF(E156="", G156, E156 &amp; "." &amp; 2)</f>
        <v>37.2</v>
      </c>
      <c r="H157" s="55"/>
      <c r="I157" s="10"/>
      <c r="J157" s="10"/>
      <c r="K157" s="10"/>
      <c r="L157" s="10"/>
      <c r="M157" s="10"/>
      <c r="N157" s="54"/>
      <c r="O157" s="54">
        <f t="shared" si="7"/>
        <v>0</v>
      </c>
      <c r="P157" s="52">
        <f t="shared" si="8"/>
        <v>0</v>
      </c>
    </row>
    <row r="158" spans="1:16" x14ac:dyDescent="0.25">
      <c r="A158" s="56"/>
      <c r="B158" s="142"/>
      <c r="C158" s="10"/>
      <c r="D158" s="10"/>
      <c r="E158" s="171"/>
      <c r="F158" s="171"/>
      <c r="G158" s="30" t="str">
        <f>IF(E156="", G156, E156 &amp; "." &amp; 3)</f>
        <v>37.3</v>
      </c>
      <c r="H158" s="55"/>
      <c r="I158" s="10"/>
      <c r="J158" s="10"/>
      <c r="K158" s="10"/>
      <c r="L158" s="10"/>
      <c r="M158" s="10"/>
      <c r="N158" s="54"/>
      <c r="O158" s="54">
        <f t="shared" si="7"/>
        <v>0</v>
      </c>
      <c r="P158" s="52">
        <f t="shared" si="8"/>
        <v>0</v>
      </c>
    </row>
    <row r="159" spans="1:16" x14ac:dyDescent="0.25">
      <c r="A159" s="56"/>
      <c r="B159" s="142"/>
      <c r="C159" s="10"/>
      <c r="D159" s="10"/>
      <c r="E159" s="171"/>
      <c r="F159" s="172"/>
      <c r="G159" s="30" t="str">
        <f>IF(E156="", G156, E156 &amp; "." &amp; 4)</f>
        <v>37.4</v>
      </c>
      <c r="H159" s="55"/>
      <c r="I159" s="10"/>
      <c r="J159" s="10"/>
      <c r="K159" s="10"/>
      <c r="L159" s="10"/>
      <c r="M159" s="10"/>
      <c r="N159" s="54"/>
      <c r="O159" s="54">
        <f t="shared" si="7"/>
        <v>0</v>
      </c>
      <c r="P159" s="52">
        <f t="shared" si="8"/>
        <v>0</v>
      </c>
    </row>
    <row r="160" spans="1:16" x14ac:dyDescent="0.25">
      <c r="A160" s="56"/>
      <c r="B160" s="142"/>
      <c r="C160" s="10"/>
      <c r="D160" s="10"/>
      <c r="E160" s="170">
        <v>38</v>
      </c>
      <c r="F160" s="170"/>
      <c r="G160" s="30" t="str">
        <f>IF(E160="", G160, E160 &amp; "." &amp; 1)</f>
        <v>38.1</v>
      </c>
      <c r="H160" s="55"/>
      <c r="I160" s="10"/>
      <c r="J160" s="10"/>
      <c r="K160" s="10"/>
      <c r="L160" s="10"/>
      <c r="M160" s="10"/>
      <c r="N160" s="54"/>
      <c r="O160" s="54">
        <f t="shared" si="7"/>
        <v>0</v>
      </c>
      <c r="P160" s="52">
        <f t="shared" si="8"/>
        <v>0</v>
      </c>
    </row>
    <row r="161" spans="1:16" x14ac:dyDescent="0.25">
      <c r="A161" s="56"/>
      <c r="B161" s="142"/>
      <c r="C161" s="10"/>
      <c r="D161" s="10"/>
      <c r="E161" s="171"/>
      <c r="F161" s="171"/>
      <c r="G161" s="30" t="str">
        <f>IF(E160="", G160, E160 &amp; "." &amp; 2)</f>
        <v>38.2</v>
      </c>
      <c r="H161" s="55"/>
      <c r="I161" s="10"/>
      <c r="J161" s="10"/>
      <c r="K161" s="10"/>
      <c r="L161" s="10"/>
      <c r="M161" s="10"/>
      <c r="N161" s="54"/>
      <c r="O161" s="54">
        <f t="shared" si="7"/>
        <v>0</v>
      </c>
      <c r="P161" s="52">
        <f t="shared" si="8"/>
        <v>0</v>
      </c>
    </row>
    <row r="162" spans="1:16" x14ac:dyDescent="0.25">
      <c r="A162" s="56"/>
      <c r="B162" s="142"/>
      <c r="C162" s="10"/>
      <c r="D162" s="10"/>
      <c r="E162" s="171"/>
      <c r="F162" s="171"/>
      <c r="G162" s="30" t="str">
        <f>IF(E160="", G160, E160 &amp; "." &amp; 3)</f>
        <v>38.3</v>
      </c>
      <c r="H162" s="55"/>
      <c r="I162" s="10"/>
      <c r="J162" s="10"/>
      <c r="K162" s="10"/>
      <c r="L162" s="10"/>
      <c r="M162" s="10"/>
      <c r="N162" s="54"/>
      <c r="O162" s="54">
        <f t="shared" si="7"/>
        <v>0</v>
      </c>
      <c r="P162" s="52">
        <f t="shared" si="8"/>
        <v>0</v>
      </c>
    </row>
    <row r="163" spans="1:16" x14ac:dyDescent="0.25">
      <c r="A163" s="56"/>
      <c r="B163" s="142"/>
      <c r="C163" s="10"/>
      <c r="D163" s="10"/>
      <c r="E163" s="171"/>
      <c r="F163" s="172"/>
      <c r="G163" s="30" t="str">
        <f>IF(E160="", G160, E160 &amp; "." &amp; 4)</f>
        <v>38.4</v>
      </c>
      <c r="H163" s="55"/>
      <c r="I163" s="10"/>
      <c r="J163" s="10"/>
      <c r="K163" s="10"/>
      <c r="L163" s="10"/>
      <c r="M163" s="10"/>
      <c r="N163" s="54"/>
      <c r="O163" s="54">
        <f t="shared" si="7"/>
        <v>0</v>
      </c>
      <c r="P163" s="52">
        <f t="shared" si="8"/>
        <v>0</v>
      </c>
    </row>
    <row r="164" spans="1:16" x14ac:dyDescent="0.25">
      <c r="A164" s="56"/>
      <c r="B164" s="142"/>
      <c r="C164" s="10"/>
      <c r="D164" s="10"/>
      <c r="E164" s="170">
        <v>39</v>
      </c>
      <c r="F164" s="170"/>
      <c r="G164" s="30" t="str">
        <f>IF(E164="", G164, E164 &amp; "." &amp; 1)</f>
        <v>39.1</v>
      </c>
      <c r="H164" s="55"/>
      <c r="I164" s="10"/>
      <c r="J164" s="10"/>
      <c r="K164" s="10"/>
      <c r="L164" s="10"/>
      <c r="M164" s="10"/>
      <c r="N164" s="54"/>
      <c r="O164" s="54">
        <f t="shared" si="7"/>
        <v>0</v>
      </c>
      <c r="P164" s="52">
        <f t="shared" si="8"/>
        <v>0</v>
      </c>
    </row>
    <row r="165" spans="1:16" x14ac:dyDescent="0.25">
      <c r="A165" s="56"/>
      <c r="B165" s="142"/>
      <c r="C165" s="10"/>
      <c r="D165" s="10"/>
      <c r="E165" s="171"/>
      <c r="F165" s="171"/>
      <c r="G165" s="30" t="str">
        <f>IF(E164="", G164, E164 &amp; "." &amp; 2)</f>
        <v>39.2</v>
      </c>
      <c r="H165" s="55"/>
      <c r="I165" s="10"/>
      <c r="J165" s="10"/>
      <c r="K165" s="10"/>
      <c r="L165" s="10"/>
      <c r="M165" s="10"/>
      <c r="N165" s="54"/>
      <c r="O165" s="54">
        <f t="shared" si="7"/>
        <v>0</v>
      </c>
      <c r="P165" s="52">
        <f t="shared" si="8"/>
        <v>0</v>
      </c>
    </row>
    <row r="166" spans="1:16" x14ac:dyDescent="0.25">
      <c r="A166" s="56"/>
      <c r="B166" s="142"/>
      <c r="C166" s="10"/>
      <c r="D166" s="10"/>
      <c r="E166" s="171"/>
      <c r="F166" s="171"/>
      <c r="G166" s="30" t="str">
        <f>IF(E164="", G164, E164 &amp; "." &amp; 3)</f>
        <v>39.3</v>
      </c>
      <c r="H166" s="55"/>
      <c r="I166" s="10"/>
      <c r="J166" s="10"/>
      <c r="K166" s="10"/>
      <c r="L166" s="10"/>
      <c r="M166" s="10"/>
      <c r="N166" s="54"/>
      <c r="O166" s="54">
        <f t="shared" si="7"/>
        <v>0</v>
      </c>
      <c r="P166" s="52">
        <f t="shared" si="8"/>
        <v>0</v>
      </c>
    </row>
    <row r="167" spans="1:16" x14ac:dyDescent="0.25">
      <c r="A167" s="56"/>
      <c r="B167" s="142"/>
      <c r="C167" s="10"/>
      <c r="D167" s="10"/>
      <c r="E167" s="171"/>
      <c r="F167" s="172"/>
      <c r="G167" s="30" t="str">
        <f>IF(E164="", G164, E164 &amp; "." &amp; 4)</f>
        <v>39.4</v>
      </c>
      <c r="H167" s="55"/>
      <c r="I167" s="10"/>
      <c r="J167" s="10"/>
      <c r="K167" s="10"/>
      <c r="L167" s="10"/>
      <c r="M167" s="10"/>
      <c r="N167" s="54"/>
      <c r="O167" s="54">
        <f t="shared" si="7"/>
        <v>0</v>
      </c>
      <c r="P167" s="52">
        <f t="shared" si="8"/>
        <v>0</v>
      </c>
    </row>
    <row r="168" spans="1:16" x14ac:dyDescent="0.25">
      <c r="A168" s="62"/>
      <c r="B168" s="150"/>
      <c r="C168" s="26"/>
      <c r="D168" s="26"/>
      <c r="E168" s="170">
        <v>40</v>
      </c>
      <c r="F168" s="171"/>
      <c r="G168" s="30" t="str">
        <f>IF(E168="", G168, E168 &amp; "." &amp; 1)</f>
        <v>40.1</v>
      </c>
      <c r="H168" s="63"/>
      <c r="I168" s="26"/>
      <c r="J168" s="26"/>
      <c r="K168" s="26"/>
      <c r="L168" s="26"/>
      <c r="M168" s="26"/>
      <c r="N168" s="51"/>
      <c r="O168" s="51">
        <f t="shared" si="7"/>
        <v>0</v>
      </c>
      <c r="P168" s="64">
        <f t="shared" si="8"/>
        <v>0</v>
      </c>
    </row>
    <row r="169" spans="1:16" x14ac:dyDescent="0.25">
      <c r="A169" s="56"/>
      <c r="B169" s="142"/>
      <c r="C169" s="10"/>
      <c r="D169" s="10"/>
      <c r="E169" s="171"/>
      <c r="F169" s="171"/>
      <c r="G169" s="30" t="str">
        <f>IF(E168="", G168, E168 &amp; "." &amp; 2)</f>
        <v>40.2</v>
      </c>
      <c r="H169" s="55"/>
      <c r="I169" s="10"/>
      <c r="J169" s="10"/>
      <c r="K169" s="10"/>
      <c r="L169" s="10"/>
      <c r="M169" s="10"/>
      <c r="N169" s="54"/>
      <c r="O169" s="54">
        <f t="shared" si="7"/>
        <v>0</v>
      </c>
      <c r="P169" s="52">
        <f t="shared" si="8"/>
        <v>0</v>
      </c>
    </row>
    <row r="170" spans="1:16" x14ac:dyDescent="0.25">
      <c r="A170" s="56"/>
      <c r="B170" s="142"/>
      <c r="C170" s="10"/>
      <c r="D170" s="10"/>
      <c r="E170" s="171"/>
      <c r="F170" s="171"/>
      <c r="G170" s="30" t="str">
        <f>IF(E168="", G168, E168 &amp; "." &amp; 3)</f>
        <v>40.3</v>
      </c>
      <c r="H170" s="55"/>
      <c r="I170" s="10"/>
      <c r="J170" s="10"/>
      <c r="K170" s="10"/>
      <c r="L170" s="10"/>
      <c r="M170" s="10"/>
      <c r="N170" s="54"/>
      <c r="O170" s="54">
        <f t="shared" si="7"/>
        <v>0</v>
      </c>
      <c r="P170" s="52">
        <f t="shared" si="8"/>
        <v>0</v>
      </c>
    </row>
    <row r="171" spans="1:16" x14ac:dyDescent="0.25">
      <c r="A171" s="56"/>
      <c r="B171" s="142"/>
      <c r="C171" s="10"/>
      <c r="D171" s="10"/>
      <c r="E171" s="171"/>
      <c r="F171" s="172"/>
      <c r="G171" s="30" t="str">
        <f>IF(E168="", G168, E168 &amp; "." &amp; 4)</f>
        <v>40.4</v>
      </c>
      <c r="H171" s="55"/>
      <c r="I171" s="10"/>
      <c r="J171" s="10"/>
      <c r="K171" s="10"/>
      <c r="L171" s="10"/>
      <c r="M171" s="10"/>
      <c r="N171" s="54"/>
      <c r="O171" s="54">
        <f t="shared" si="7"/>
        <v>0</v>
      </c>
      <c r="P171" s="52">
        <f t="shared" si="8"/>
        <v>0</v>
      </c>
    </row>
    <row r="172" spans="1:16" x14ac:dyDescent="0.25">
      <c r="A172" s="56"/>
      <c r="B172" s="142"/>
      <c r="C172" s="10"/>
      <c r="D172" s="10"/>
      <c r="E172" s="170">
        <v>41</v>
      </c>
      <c r="F172" s="170"/>
      <c r="G172" s="30" t="str">
        <f>IF(E172="", G172, E172 &amp; "." &amp; 1)</f>
        <v>41.1</v>
      </c>
      <c r="H172" s="55"/>
      <c r="I172" s="10"/>
      <c r="J172" s="10"/>
      <c r="K172" s="10"/>
      <c r="L172" s="10"/>
      <c r="M172" s="10"/>
      <c r="N172" s="54"/>
      <c r="O172" s="54">
        <f t="shared" si="7"/>
        <v>0</v>
      </c>
      <c r="P172" s="52">
        <f t="shared" si="8"/>
        <v>0</v>
      </c>
    </row>
    <row r="173" spans="1:16" x14ac:dyDescent="0.25">
      <c r="A173" s="56"/>
      <c r="B173" s="142"/>
      <c r="C173" s="10"/>
      <c r="D173" s="10"/>
      <c r="E173" s="171"/>
      <c r="F173" s="171"/>
      <c r="G173" s="30" t="str">
        <f>IF(E172="", G172, E172 &amp; "." &amp; 2)</f>
        <v>41.2</v>
      </c>
      <c r="H173" s="55"/>
      <c r="I173" s="10"/>
      <c r="J173" s="10"/>
      <c r="K173" s="10"/>
      <c r="L173" s="10"/>
      <c r="M173" s="10"/>
      <c r="N173" s="54"/>
      <c r="O173" s="54">
        <f t="shared" si="7"/>
        <v>0</v>
      </c>
      <c r="P173" s="52">
        <f t="shared" si="8"/>
        <v>0</v>
      </c>
    </row>
    <row r="174" spans="1:16" x14ac:dyDescent="0.25">
      <c r="A174" s="56"/>
      <c r="B174" s="142"/>
      <c r="C174" s="10"/>
      <c r="D174" s="10"/>
      <c r="E174" s="171"/>
      <c r="F174" s="171"/>
      <c r="G174" s="30" t="str">
        <f>IF(E172="", G172, E172 &amp; "." &amp; 3)</f>
        <v>41.3</v>
      </c>
      <c r="H174" s="55"/>
      <c r="I174" s="10"/>
      <c r="J174" s="10"/>
      <c r="K174" s="10"/>
      <c r="L174" s="10"/>
      <c r="M174" s="10"/>
      <c r="N174" s="54"/>
      <c r="O174" s="54">
        <f t="shared" si="7"/>
        <v>0</v>
      </c>
      <c r="P174" s="52">
        <f t="shared" si="8"/>
        <v>0</v>
      </c>
    </row>
    <row r="175" spans="1:16" x14ac:dyDescent="0.25">
      <c r="A175" s="56"/>
      <c r="B175" s="142"/>
      <c r="C175" s="10"/>
      <c r="D175" s="10"/>
      <c r="E175" s="171"/>
      <c r="F175" s="172"/>
      <c r="G175" s="30" t="str">
        <f>IF(E172="", G172, E172 &amp; "." &amp; 4)</f>
        <v>41.4</v>
      </c>
      <c r="H175" s="55"/>
      <c r="I175" s="10"/>
      <c r="J175" s="10"/>
      <c r="K175" s="10"/>
      <c r="L175" s="10"/>
      <c r="M175" s="10"/>
      <c r="N175" s="54"/>
      <c r="O175" s="54">
        <f t="shared" si="7"/>
        <v>0</v>
      </c>
      <c r="P175" s="52">
        <f t="shared" si="8"/>
        <v>0</v>
      </c>
    </row>
    <row r="176" spans="1:16" x14ac:dyDescent="0.25">
      <c r="A176" s="56"/>
      <c r="B176" s="142"/>
      <c r="C176" s="10"/>
      <c r="D176" s="10"/>
      <c r="E176" s="170">
        <v>42</v>
      </c>
      <c r="F176" s="170"/>
      <c r="G176" s="30" t="str">
        <f>IF(E176="", G176, E176 &amp; "." &amp; 1)</f>
        <v>42.1</v>
      </c>
      <c r="H176" s="55"/>
      <c r="I176" s="10"/>
      <c r="J176" s="10"/>
      <c r="K176" s="10"/>
      <c r="L176" s="10"/>
      <c r="M176" s="10"/>
      <c r="N176" s="54"/>
      <c r="O176" s="54">
        <f t="shared" si="7"/>
        <v>0</v>
      </c>
      <c r="P176" s="52">
        <f t="shared" si="8"/>
        <v>0</v>
      </c>
    </row>
    <row r="177" spans="1:16" x14ac:dyDescent="0.25">
      <c r="A177" s="56"/>
      <c r="B177" s="142"/>
      <c r="C177" s="10"/>
      <c r="D177" s="10"/>
      <c r="E177" s="171"/>
      <c r="F177" s="171"/>
      <c r="G177" s="30" t="str">
        <f>IF(E176="", G176, E176 &amp; "." &amp; 2)</f>
        <v>42.2</v>
      </c>
      <c r="H177" s="55"/>
      <c r="I177" s="10"/>
      <c r="J177" s="10"/>
      <c r="K177" s="10"/>
      <c r="L177" s="10"/>
      <c r="M177" s="10"/>
      <c r="N177" s="54"/>
      <c r="O177" s="54">
        <f t="shared" si="7"/>
        <v>0</v>
      </c>
      <c r="P177" s="52">
        <f t="shared" si="8"/>
        <v>0</v>
      </c>
    </row>
    <row r="178" spans="1:16" x14ac:dyDescent="0.25">
      <c r="A178" s="56"/>
      <c r="B178" s="142"/>
      <c r="C178" s="10"/>
      <c r="D178" s="10"/>
      <c r="E178" s="171"/>
      <c r="F178" s="171"/>
      <c r="G178" s="30" t="str">
        <f>IF(E176="", G176, E176 &amp; "." &amp; 3)</f>
        <v>42.3</v>
      </c>
      <c r="H178" s="55"/>
      <c r="I178" s="10"/>
      <c r="J178" s="10"/>
      <c r="K178" s="10"/>
      <c r="L178" s="10"/>
      <c r="M178" s="10"/>
      <c r="N178" s="54"/>
      <c r="O178" s="54">
        <f t="shared" si="7"/>
        <v>0</v>
      </c>
      <c r="P178" s="52">
        <f t="shared" si="8"/>
        <v>0</v>
      </c>
    </row>
    <row r="179" spans="1:16" x14ac:dyDescent="0.25">
      <c r="A179" s="56"/>
      <c r="B179" s="142"/>
      <c r="C179" s="10"/>
      <c r="D179" s="10"/>
      <c r="E179" s="171"/>
      <c r="F179" s="172"/>
      <c r="G179" s="30" t="str">
        <f>IF(E176="", G176, E176 &amp; "." &amp; 4)</f>
        <v>42.4</v>
      </c>
      <c r="H179" s="55"/>
      <c r="I179" s="10"/>
      <c r="J179" s="10"/>
      <c r="K179" s="10"/>
      <c r="L179" s="10"/>
      <c r="M179" s="10"/>
      <c r="N179" s="54"/>
      <c r="O179" s="54">
        <f t="shared" si="7"/>
        <v>0</v>
      </c>
      <c r="P179" s="52">
        <f t="shared" si="8"/>
        <v>0</v>
      </c>
    </row>
    <row r="180" spans="1:16" x14ac:dyDescent="0.25">
      <c r="A180" s="56"/>
      <c r="B180" s="142"/>
      <c r="C180" s="10"/>
      <c r="D180" s="10"/>
      <c r="E180" s="170">
        <v>43</v>
      </c>
      <c r="F180" s="170"/>
      <c r="G180" s="30" t="str">
        <f>IF(E180="", G180, E180 &amp; "." &amp; 1)</f>
        <v>43.1</v>
      </c>
      <c r="H180" s="55"/>
      <c r="I180" s="10"/>
      <c r="J180" s="10"/>
      <c r="K180" s="10"/>
      <c r="L180" s="10"/>
      <c r="M180" s="10"/>
      <c r="N180" s="54"/>
      <c r="O180" s="54">
        <f t="shared" si="7"/>
        <v>0</v>
      </c>
      <c r="P180" s="52">
        <f t="shared" si="8"/>
        <v>0</v>
      </c>
    </row>
    <row r="181" spans="1:16" x14ac:dyDescent="0.25">
      <c r="A181" s="56"/>
      <c r="B181" s="142"/>
      <c r="C181" s="10"/>
      <c r="D181" s="10"/>
      <c r="E181" s="171"/>
      <c r="F181" s="171"/>
      <c r="G181" s="30" t="str">
        <f>IF(E180="", G180, E180 &amp; "." &amp; 2)</f>
        <v>43.2</v>
      </c>
      <c r="H181" s="55"/>
      <c r="I181" s="10"/>
      <c r="J181" s="10"/>
      <c r="K181" s="10"/>
      <c r="L181" s="10"/>
      <c r="M181" s="10"/>
      <c r="N181" s="54"/>
      <c r="O181" s="54">
        <f t="shared" si="7"/>
        <v>0</v>
      </c>
      <c r="P181" s="52">
        <f t="shared" si="8"/>
        <v>0</v>
      </c>
    </row>
    <row r="182" spans="1:16" x14ac:dyDescent="0.25">
      <c r="A182" s="56"/>
      <c r="B182" s="142"/>
      <c r="C182" s="10"/>
      <c r="D182" s="10"/>
      <c r="E182" s="171"/>
      <c r="F182" s="171"/>
      <c r="G182" s="30" t="str">
        <f>IF(E180="", G180, E180 &amp; "." &amp; 3)</f>
        <v>43.3</v>
      </c>
      <c r="H182" s="55"/>
      <c r="I182" s="10"/>
      <c r="J182" s="10"/>
      <c r="K182" s="10"/>
      <c r="L182" s="10"/>
      <c r="M182" s="10"/>
      <c r="N182" s="54"/>
      <c r="O182" s="54">
        <f t="shared" si="7"/>
        <v>0</v>
      </c>
      <c r="P182" s="52">
        <f t="shared" si="8"/>
        <v>0</v>
      </c>
    </row>
    <row r="183" spans="1:16" x14ac:dyDescent="0.25">
      <c r="A183" s="56"/>
      <c r="B183" s="142"/>
      <c r="C183" s="10"/>
      <c r="D183" s="10"/>
      <c r="E183" s="171"/>
      <c r="F183" s="172"/>
      <c r="G183" s="30" t="str">
        <f>IF(E180="", G180, E180 &amp; "." &amp; 4)</f>
        <v>43.4</v>
      </c>
      <c r="H183" s="55"/>
      <c r="I183" s="10"/>
      <c r="J183" s="10"/>
      <c r="K183" s="10"/>
      <c r="L183" s="10"/>
      <c r="M183" s="10"/>
      <c r="N183" s="54"/>
      <c r="O183" s="54">
        <f t="shared" si="7"/>
        <v>0</v>
      </c>
      <c r="P183" s="52">
        <f t="shared" si="8"/>
        <v>0</v>
      </c>
    </row>
    <row r="184" spans="1:16" x14ac:dyDescent="0.25">
      <c r="A184" s="62"/>
      <c r="B184" s="150"/>
      <c r="C184" s="26"/>
      <c r="D184" s="26"/>
      <c r="E184" s="170">
        <v>44</v>
      </c>
      <c r="F184" s="171"/>
      <c r="G184" s="34" t="str">
        <f>IF(E184="", G184, E184 &amp; "." &amp; 1)</f>
        <v>44.1</v>
      </c>
      <c r="H184" s="63"/>
      <c r="I184" s="26"/>
      <c r="J184" s="26"/>
      <c r="K184" s="26"/>
      <c r="L184" s="26"/>
      <c r="M184" s="26"/>
      <c r="N184" s="51"/>
      <c r="O184" s="51">
        <f t="shared" si="7"/>
        <v>0</v>
      </c>
      <c r="P184" s="64">
        <f t="shared" si="8"/>
        <v>0</v>
      </c>
    </row>
    <row r="185" spans="1:16" x14ac:dyDescent="0.25">
      <c r="A185" s="56"/>
      <c r="B185" s="142"/>
      <c r="C185" s="10"/>
      <c r="D185" s="10"/>
      <c r="E185" s="171"/>
      <c r="F185" s="171"/>
      <c r="G185" s="30" t="str">
        <f>IF(E184="", G184, E184 &amp; "." &amp; 2)</f>
        <v>44.2</v>
      </c>
      <c r="H185" s="55"/>
      <c r="I185" s="10"/>
      <c r="J185" s="10"/>
      <c r="K185" s="10"/>
      <c r="L185" s="10"/>
      <c r="M185" s="10"/>
      <c r="N185" s="54"/>
      <c r="O185" s="54">
        <f t="shared" si="7"/>
        <v>0</v>
      </c>
      <c r="P185" s="52">
        <f t="shared" si="8"/>
        <v>0</v>
      </c>
    </row>
    <row r="186" spans="1:16" x14ac:dyDescent="0.25">
      <c r="A186" s="56"/>
      <c r="B186" s="142"/>
      <c r="C186" s="10"/>
      <c r="D186" s="10"/>
      <c r="E186" s="171"/>
      <c r="F186" s="171"/>
      <c r="G186" s="30" t="str">
        <f>IF(E184="", G184, E184 &amp; "." &amp; 3)</f>
        <v>44.3</v>
      </c>
      <c r="H186" s="55"/>
      <c r="I186" s="10"/>
      <c r="J186" s="10"/>
      <c r="K186" s="10"/>
      <c r="L186" s="10"/>
      <c r="M186" s="10"/>
      <c r="N186" s="54"/>
      <c r="O186" s="54">
        <f t="shared" si="7"/>
        <v>0</v>
      </c>
      <c r="P186" s="52">
        <f t="shared" si="8"/>
        <v>0</v>
      </c>
    </row>
    <row r="187" spans="1:16" ht="15.75" thickBot="1" x14ac:dyDescent="0.3">
      <c r="A187" s="132"/>
      <c r="B187" s="151"/>
      <c r="C187" s="133"/>
      <c r="D187" s="133"/>
      <c r="E187" s="173"/>
      <c r="F187" s="173"/>
      <c r="G187" s="247" t="str">
        <f>IF(E184="", G184, E184 &amp; "." &amp; 4)</f>
        <v>44.4</v>
      </c>
      <c r="H187" s="134"/>
      <c r="I187" s="133"/>
      <c r="J187" s="133"/>
      <c r="K187" s="133"/>
      <c r="L187" s="133"/>
      <c r="M187" s="133"/>
      <c r="N187" s="135"/>
      <c r="O187" s="135">
        <f t="shared" si="7"/>
        <v>0</v>
      </c>
      <c r="P187" s="53">
        <f t="shared" si="8"/>
        <v>0</v>
      </c>
    </row>
    <row r="188" spans="1:16" s="1" customFormat="1" ht="25.5" customHeight="1" x14ac:dyDescent="0.25">
      <c r="A188" s="161" t="s">
        <v>219</v>
      </c>
      <c r="B188" s="147"/>
      <c r="C188" s="163" t="s">
        <v>321</v>
      </c>
      <c r="D188" s="163" t="s">
        <v>343</v>
      </c>
      <c r="E188" s="175" t="s">
        <v>338</v>
      </c>
      <c r="F188" s="176"/>
      <c r="G188" s="57"/>
      <c r="H188" s="163" t="s">
        <v>325</v>
      </c>
      <c r="I188" s="163" t="s">
        <v>332</v>
      </c>
      <c r="J188" s="163" t="s">
        <v>326</v>
      </c>
      <c r="K188" s="163" t="s">
        <v>337</v>
      </c>
      <c r="L188" s="192" t="s">
        <v>331</v>
      </c>
      <c r="M188" s="193"/>
      <c r="N188" s="194"/>
      <c r="O188" s="163" t="s">
        <v>329</v>
      </c>
      <c r="P188" s="190" t="s">
        <v>330</v>
      </c>
    </row>
    <row r="189" spans="1:16" ht="15.75" thickBot="1" x14ac:dyDescent="0.3">
      <c r="A189" s="162"/>
      <c r="B189" s="148"/>
      <c r="C189" s="164"/>
      <c r="D189" s="164"/>
      <c r="E189" s="177"/>
      <c r="F189" s="174"/>
      <c r="G189" s="58"/>
      <c r="H189" s="164"/>
      <c r="I189" s="164"/>
      <c r="J189" s="164"/>
      <c r="K189" s="164"/>
      <c r="L189" s="41" t="s">
        <v>322</v>
      </c>
      <c r="M189" s="41" t="s">
        <v>323</v>
      </c>
      <c r="N189" s="41" t="s">
        <v>324</v>
      </c>
      <c r="O189" s="164"/>
      <c r="P189" s="191"/>
    </row>
    <row r="190" spans="1:16" ht="15.75" thickTop="1" x14ac:dyDescent="0.25">
      <c r="A190" s="32"/>
      <c r="B190" s="149"/>
      <c r="C190" s="33"/>
      <c r="D190" s="40"/>
      <c r="E190" s="170">
        <v>45</v>
      </c>
      <c r="F190" s="170"/>
      <c r="G190" s="30" t="str">
        <f>IF(E190="", G190, E190 &amp; "." &amp; 1)</f>
        <v>45.1</v>
      </c>
      <c r="H190" s="43"/>
      <c r="I190" s="33"/>
      <c r="J190" s="29"/>
      <c r="K190" s="29"/>
      <c r="L190" s="35"/>
      <c r="M190" s="35"/>
      <c r="N190" s="35"/>
      <c r="O190" s="51">
        <f t="shared" ref="O190:O249" si="9">IFERROR(IF(J190="Man",AVERAGE(L190:N190)*K190)/I190,0)</f>
        <v>0</v>
      </c>
      <c r="P190" s="52">
        <f t="shared" ref="P190:P249" si="10">IFERROR(IF(J190="Machine",(AVERAGE(L190:N190)/I190)/60,0),0)</f>
        <v>0</v>
      </c>
    </row>
    <row r="191" spans="1:16" x14ac:dyDescent="0.25">
      <c r="A191" s="32"/>
      <c r="B191" s="149"/>
      <c r="C191" s="33"/>
      <c r="D191" s="61"/>
      <c r="E191" s="171"/>
      <c r="F191" s="171"/>
      <c r="G191" s="30" t="str">
        <f>IF(E190="", G190, E190 &amp; "." &amp; 2)</f>
        <v>45.2</v>
      </c>
      <c r="H191" s="43"/>
      <c r="I191" s="33"/>
      <c r="J191" s="29"/>
      <c r="K191" s="29"/>
      <c r="L191" s="35"/>
      <c r="M191" s="35"/>
      <c r="N191" s="35"/>
      <c r="O191" s="51">
        <f t="shared" si="9"/>
        <v>0</v>
      </c>
      <c r="P191" s="52">
        <f t="shared" si="10"/>
        <v>0</v>
      </c>
    </row>
    <row r="192" spans="1:16" x14ac:dyDescent="0.25">
      <c r="A192" s="32"/>
      <c r="B192" s="149"/>
      <c r="C192" s="33"/>
      <c r="D192" s="61"/>
      <c r="E192" s="171"/>
      <c r="F192" s="171"/>
      <c r="G192" s="30" t="str">
        <f>IF(E190="", G190, E190 &amp; "." &amp; 3)</f>
        <v>45.3</v>
      </c>
      <c r="H192" s="43"/>
      <c r="I192" s="33"/>
      <c r="J192" s="29"/>
      <c r="K192" s="29"/>
      <c r="L192" s="35"/>
      <c r="M192" s="35"/>
      <c r="N192" s="35"/>
      <c r="O192" s="51">
        <f t="shared" si="9"/>
        <v>0</v>
      </c>
      <c r="P192" s="52">
        <f t="shared" si="10"/>
        <v>0</v>
      </c>
    </row>
    <row r="193" spans="1:16" x14ac:dyDescent="0.25">
      <c r="A193" s="32"/>
      <c r="B193" s="149"/>
      <c r="C193" s="33"/>
      <c r="D193" s="61"/>
      <c r="E193" s="171"/>
      <c r="F193" s="172"/>
      <c r="G193" s="30" t="str">
        <f>IF(E190="", G190, E190 &amp; "." &amp; 4)</f>
        <v>45.4</v>
      </c>
      <c r="H193" s="43"/>
      <c r="I193" s="33"/>
      <c r="J193" s="29"/>
      <c r="K193" s="29"/>
      <c r="L193" s="35"/>
      <c r="M193" s="35"/>
      <c r="N193" s="35"/>
      <c r="O193" s="51">
        <f t="shared" si="9"/>
        <v>0</v>
      </c>
      <c r="P193" s="52">
        <f t="shared" si="10"/>
        <v>0</v>
      </c>
    </row>
    <row r="194" spans="1:16" x14ac:dyDescent="0.25">
      <c r="A194" s="32"/>
      <c r="B194" s="149"/>
      <c r="C194" s="33"/>
      <c r="D194" s="40"/>
      <c r="E194" s="170">
        <v>46</v>
      </c>
      <c r="F194" s="170"/>
      <c r="G194" s="30" t="str">
        <f>IF(E194="", G194, E194 &amp; "." &amp; 1)</f>
        <v>46.1</v>
      </c>
      <c r="H194" s="43"/>
      <c r="I194" s="33"/>
      <c r="J194" s="29"/>
      <c r="K194" s="29"/>
      <c r="L194" s="35"/>
      <c r="M194" s="35"/>
      <c r="N194" s="35"/>
      <c r="O194" s="51">
        <f t="shared" si="9"/>
        <v>0</v>
      </c>
      <c r="P194" s="52">
        <f t="shared" si="10"/>
        <v>0</v>
      </c>
    </row>
    <row r="195" spans="1:16" x14ac:dyDescent="0.25">
      <c r="A195" s="32"/>
      <c r="B195" s="149"/>
      <c r="C195" s="33"/>
      <c r="D195" s="61"/>
      <c r="E195" s="171"/>
      <c r="F195" s="171"/>
      <c r="G195" s="30" t="str">
        <f>IF(E194="", G194, E194 &amp; "." &amp; 2)</f>
        <v>46.2</v>
      </c>
      <c r="H195" s="43"/>
      <c r="I195" s="33"/>
      <c r="J195" s="29"/>
      <c r="K195" s="29"/>
      <c r="L195" s="35"/>
      <c r="M195" s="35"/>
      <c r="N195" s="35"/>
      <c r="O195" s="51">
        <f t="shared" si="9"/>
        <v>0</v>
      </c>
      <c r="P195" s="52">
        <f t="shared" si="10"/>
        <v>0</v>
      </c>
    </row>
    <row r="196" spans="1:16" x14ac:dyDescent="0.25">
      <c r="A196" s="32"/>
      <c r="B196" s="149"/>
      <c r="C196" s="33"/>
      <c r="D196" s="61"/>
      <c r="E196" s="171"/>
      <c r="F196" s="171"/>
      <c r="G196" s="30" t="str">
        <f>IF(E194="", G194, E194 &amp; "." &amp; 3)</f>
        <v>46.3</v>
      </c>
      <c r="H196" s="43"/>
      <c r="I196" s="33"/>
      <c r="J196" s="29"/>
      <c r="K196" s="29"/>
      <c r="L196" s="35"/>
      <c r="M196" s="35"/>
      <c r="N196" s="35"/>
      <c r="O196" s="51">
        <f t="shared" si="9"/>
        <v>0</v>
      </c>
      <c r="P196" s="52">
        <f t="shared" si="10"/>
        <v>0</v>
      </c>
    </row>
    <row r="197" spans="1:16" x14ac:dyDescent="0.25">
      <c r="A197" s="32"/>
      <c r="B197" s="149"/>
      <c r="C197" s="33"/>
      <c r="D197" s="61"/>
      <c r="E197" s="171"/>
      <c r="F197" s="172"/>
      <c r="G197" s="30" t="str">
        <f>IF(E194="", G194, E194 &amp; "." &amp; 4)</f>
        <v>46.4</v>
      </c>
      <c r="H197" s="43"/>
      <c r="I197" s="33"/>
      <c r="J197" s="29"/>
      <c r="K197" s="29"/>
      <c r="L197" s="35"/>
      <c r="M197" s="35"/>
      <c r="N197" s="35"/>
      <c r="O197" s="51">
        <f t="shared" si="9"/>
        <v>0</v>
      </c>
      <c r="P197" s="52">
        <f t="shared" si="10"/>
        <v>0</v>
      </c>
    </row>
    <row r="198" spans="1:16" x14ac:dyDescent="0.25">
      <c r="A198" s="32"/>
      <c r="B198" s="149"/>
      <c r="C198" s="33"/>
      <c r="D198" s="40"/>
      <c r="E198" s="170">
        <v>47</v>
      </c>
      <c r="F198" s="170"/>
      <c r="G198" s="30" t="str">
        <f>IF(E198="", G198, E198 &amp; "." &amp; 1)</f>
        <v>47.1</v>
      </c>
      <c r="H198" s="43"/>
      <c r="I198" s="33"/>
      <c r="J198" s="29"/>
      <c r="K198" s="29"/>
      <c r="L198" s="35"/>
      <c r="M198" s="35"/>
      <c r="N198" s="35"/>
      <c r="O198" s="51">
        <f t="shared" si="9"/>
        <v>0</v>
      </c>
      <c r="P198" s="52">
        <f t="shared" si="10"/>
        <v>0</v>
      </c>
    </row>
    <row r="199" spans="1:16" x14ac:dyDescent="0.25">
      <c r="A199" s="32"/>
      <c r="B199" s="149"/>
      <c r="C199" s="33"/>
      <c r="D199" s="61"/>
      <c r="E199" s="171"/>
      <c r="F199" s="171"/>
      <c r="G199" s="30" t="str">
        <f>IF(E198="", G198, E198 &amp; "." &amp; 2)</f>
        <v>47.2</v>
      </c>
      <c r="H199" s="43"/>
      <c r="I199" s="33"/>
      <c r="J199" s="29"/>
      <c r="K199" s="29"/>
      <c r="L199" s="35"/>
      <c r="M199" s="35"/>
      <c r="N199" s="35"/>
      <c r="O199" s="51">
        <f t="shared" si="9"/>
        <v>0</v>
      </c>
      <c r="P199" s="52">
        <f t="shared" si="10"/>
        <v>0</v>
      </c>
    </row>
    <row r="200" spans="1:16" x14ac:dyDescent="0.25">
      <c r="A200" s="32"/>
      <c r="B200" s="149"/>
      <c r="C200" s="33"/>
      <c r="D200" s="61"/>
      <c r="E200" s="171"/>
      <c r="F200" s="171"/>
      <c r="G200" s="30" t="str">
        <f>IF(E198="", G198, E198 &amp; "." &amp; 3)</f>
        <v>47.3</v>
      </c>
      <c r="H200" s="43"/>
      <c r="I200" s="33"/>
      <c r="J200" s="29"/>
      <c r="K200" s="29"/>
      <c r="L200" s="35"/>
      <c r="M200" s="35"/>
      <c r="N200" s="35"/>
      <c r="O200" s="51">
        <f t="shared" si="9"/>
        <v>0</v>
      </c>
      <c r="P200" s="52">
        <f t="shared" si="10"/>
        <v>0</v>
      </c>
    </row>
    <row r="201" spans="1:16" x14ac:dyDescent="0.25">
      <c r="A201" s="32"/>
      <c r="B201" s="149"/>
      <c r="C201" s="33"/>
      <c r="D201" s="61"/>
      <c r="E201" s="171"/>
      <c r="F201" s="172"/>
      <c r="G201" s="30" t="str">
        <f>IF(E198="", G198, E198 &amp; "." &amp; 4)</f>
        <v>47.4</v>
      </c>
      <c r="H201" s="43"/>
      <c r="I201" s="33"/>
      <c r="J201" s="29"/>
      <c r="K201" s="29"/>
      <c r="L201" s="35"/>
      <c r="M201" s="35"/>
      <c r="N201" s="35"/>
      <c r="O201" s="51">
        <f t="shared" si="9"/>
        <v>0</v>
      </c>
      <c r="P201" s="52">
        <f t="shared" si="10"/>
        <v>0</v>
      </c>
    </row>
    <row r="202" spans="1:16" x14ac:dyDescent="0.25">
      <c r="A202" s="32"/>
      <c r="B202" s="149"/>
      <c r="C202" s="33"/>
      <c r="D202" s="40"/>
      <c r="E202" s="170">
        <v>48</v>
      </c>
      <c r="F202" s="170"/>
      <c r="G202" s="30" t="str">
        <f>IF(E202="", G202, E202 &amp; "." &amp; 1)</f>
        <v>48.1</v>
      </c>
      <c r="H202" s="43"/>
      <c r="I202" s="33"/>
      <c r="J202" s="29"/>
      <c r="K202" s="29"/>
      <c r="L202" s="35"/>
      <c r="M202" s="35"/>
      <c r="N202" s="35"/>
      <c r="O202" s="51">
        <f t="shared" si="9"/>
        <v>0</v>
      </c>
      <c r="P202" s="52">
        <f t="shared" si="10"/>
        <v>0</v>
      </c>
    </row>
    <row r="203" spans="1:16" x14ac:dyDescent="0.25">
      <c r="A203" s="32"/>
      <c r="B203" s="149"/>
      <c r="C203" s="33"/>
      <c r="D203" s="61"/>
      <c r="E203" s="171"/>
      <c r="F203" s="171"/>
      <c r="G203" s="30" t="str">
        <f>IF(E202="", G202, E202 &amp; "." &amp; 2)</f>
        <v>48.2</v>
      </c>
      <c r="H203" s="43"/>
      <c r="I203" s="33"/>
      <c r="J203" s="29"/>
      <c r="K203" s="29"/>
      <c r="L203" s="35"/>
      <c r="M203" s="35"/>
      <c r="N203" s="35"/>
      <c r="O203" s="51">
        <f t="shared" si="9"/>
        <v>0</v>
      </c>
      <c r="P203" s="52">
        <f t="shared" si="10"/>
        <v>0</v>
      </c>
    </row>
    <row r="204" spans="1:16" x14ac:dyDescent="0.25">
      <c r="A204" s="32"/>
      <c r="B204" s="149"/>
      <c r="C204" s="33"/>
      <c r="D204" s="61"/>
      <c r="E204" s="171"/>
      <c r="F204" s="171"/>
      <c r="G204" s="30" t="str">
        <f>IF(E202="", G202, E202 &amp; "." &amp; 3)</f>
        <v>48.3</v>
      </c>
      <c r="H204" s="43"/>
      <c r="I204" s="33"/>
      <c r="J204" s="29"/>
      <c r="K204" s="29"/>
      <c r="L204" s="35"/>
      <c r="M204" s="35"/>
      <c r="N204" s="35"/>
      <c r="O204" s="51">
        <f t="shared" si="9"/>
        <v>0</v>
      </c>
      <c r="P204" s="52">
        <f t="shared" si="10"/>
        <v>0</v>
      </c>
    </row>
    <row r="205" spans="1:16" x14ac:dyDescent="0.25">
      <c r="A205" s="32"/>
      <c r="B205" s="149"/>
      <c r="C205" s="33"/>
      <c r="D205" s="61"/>
      <c r="E205" s="171"/>
      <c r="F205" s="172"/>
      <c r="G205" s="30" t="str">
        <f>IF(E202="", G202, E202 &amp; "." &amp; 4)</f>
        <v>48.4</v>
      </c>
      <c r="H205" s="43"/>
      <c r="I205" s="33"/>
      <c r="J205" s="29"/>
      <c r="K205" s="29"/>
      <c r="L205" s="35"/>
      <c r="M205" s="35"/>
      <c r="N205" s="35"/>
      <c r="O205" s="51">
        <f t="shared" si="9"/>
        <v>0</v>
      </c>
      <c r="P205" s="52">
        <f t="shared" si="10"/>
        <v>0</v>
      </c>
    </row>
    <row r="206" spans="1:16" x14ac:dyDescent="0.25">
      <c r="A206" s="32"/>
      <c r="B206" s="149"/>
      <c r="C206" s="33"/>
      <c r="D206" s="33"/>
      <c r="E206" s="170">
        <v>49</v>
      </c>
      <c r="F206" s="170"/>
      <c r="G206" s="30" t="str">
        <f>IF(E206="", G206, E206 &amp; "." &amp; 1)</f>
        <v>49.1</v>
      </c>
      <c r="H206" s="43"/>
      <c r="I206" s="33"/>
      <c r="J206" s="33"/>
      <c r="K206" s="33"/>
      <c r="L206" s="35"/>
      <c r="M206" s="35"/>
      <c r="N206" s="35"/>
      <c r="O206" s="54">
        <f t="shared" si="9"/>
        <v>0</v>
      </c>
      <c r="P206" s="52">
        <f t="shared" si="10"/>
        <v>0</v>
      </c>
    </row>
    <row r="207" spans="1:16" x14ac:dyDescent="0.25">
      <c r="A207" s="32"/>
      <c r="B207" s="149"/>
      <c r="C207" s="33"/>
      <c r="D207" s="33"/>
      <c r="E207" s="171"/>
      <c r="F207" s="171"/>
      <c r="G207" s="30" t="str">
        <f>IF(E206="", G206, E206 &amp; "." &amp; 2)</f>
        <v>49.2</v>
      </c>
      <c r="H207" s="43"/>
      <c r="I207" s="33"/>
      <c r="J207" s="33"/>
      <c r="K207" s="33"/>
      <c r="L207" s="35"/>
      <c r="M207" s="35"/>
      <c r="N207" s="35"/>
      <c r="O207" s="54">
        <f t="shared" si="9"/>
        <v>0</v>
      </c>
      <c r="P207" s="52">
        <f t="shared" si="10"/>
        <v>0</v>
      </c>
    </row>
    <row r="208" spans="1:16" x14ac:dyDescent="0.25">
      <c r="A208" s="32"/>
      <c r="B208" s="149"/>
      <c r="C208" s="33"/>
      <c r="D208" s="33"/>
      <c r="E208" s="171"/>
      <c r="F208" s="171"/>
      <c r="G208" s="30" t="str">
        <f>IF(E206="", G206, E206 &amp; "." &amp; 3)</f>
        <v>49.3</v>
      </c>
      <c r="H208" s="43"/>
      <c r="I208" s="33"/>
      <c r="J208" s="33"/>
      <c r="K208" s="33"/>
      <c r="L208" s="35"/>
      <c r="M208" s="35"/>
      <c r="N208" s="35"/>
      <c r="O208" s="54">
        <f t="shared" si="9"/>
        <v>0</v>
      </c>
      <c r="P208" s="52">
        <f t="shared" si="10"/>
        <v>0</v>
      </c>
    </row>
    <row r="209" spans="1:16" x14ac:dyDescent="0.25">
      <c r="A209" s="56"/>
      <c r="B209" s="142"/>
      <c r="C209" s="10"/>
      <c r="D209" s="10"/>
      <c r="E209" s="171"/>
      <c r="F209" s="172"/>
      <c r="G209" s="30" t="str">
        <f>IF(E206="", G206, E206 &amp; "." &amp; 4)</f>
        <v>49.4</v>
      </c>
      <c r="H209" s="55"/>
      <c r="I209" s="10"/>
      <c r="J209" s="10"/>
      <c r="K209" s="10"/>
      <c r="L209" s="10"/>
      <c r="M209" s="10"/>
      <c r="N209" s="54"/>
      <c r="O209" s="54">
        <f t="shared" si="9"/>
        <v>0</v>
      </c>
      <c r="P209" s="52">
        <f t="shared" si="10"/>
        <v>0</v>
      </c>
    </row>
    <row r="210" spans="1:16" x14ac:dyDescent="0.25">
      <c r="A210" s="56"/>
      <c r="B210" s="142"/>
      <c r="C210" s="10"/>
      <c r="D210" s="10"/>
      <c r="E210" s="170">
        <v>50</v>
      </c>
      <c r="F210" s="170"/>
      <c r="G210" s="30" t="str">
        <f>IF(E210="", G210, E210 &amp; "." &amp; 1)</f>
        <v>50.1</v>
      </c>
      <c r="H210" s="55"/>
      <c r="I210" s="10"/>
      <c r="J210" s="10"/>
      <c r="K210" s="10"/>
      <c r="L210" s="10"/>
      <c r="M210" s="10"/>
      <c r="N210" s="54"/>
      <c r="O210" s="54">
        <f t="shared" si="9"/>
        <v>0</v>
      </c>
      <c r="P210" s="52">
        <f t="shared" si="10"/>
        <v>0</v>
      </c>
    </row>
    <row r="211" spans="1:16" x14ac:dyDescent="0.25">
      <c r="A211" s="56"/>
      <c r="B211" s="142"/>
      <c r="C211" s="10"/>
      <c r="D211" s="10"/>
      <c r="E211" s="171"/>
      <c r="F211" s="171"/>
      <c r="G211" s="30" t="str">
        <f>IF(E210="", G210, E210 &amp; "." &amp; 2)</f>
        <v>50.2</v>
      </c>
      <c r="H211" s="55"/>
      <c r="I211" s="10"/>
      <c r="J211" s="10"/>
      <c r="K211" s="10"/>
      <c r="L211" s="10"/>
      <c r="M211" s="10"/>
      <c r="N211" s="54"/>
      <c r="O211" s="54">
        <f t="shared" si="9"/>
        <v>0</v>
      </c>
      <c r="P211" s="52">
        <f t="shared" si="10"/>
        <v>0</v>
      </c>
    </row>
    <row r="212" spans="1:16" x14ac:dyDescent="0.25">
      <c r="A212" s="56"/>
      <c r="B212" s="142"/>
      <c r="C212" s="10"/>
      <c r="D212" s="10"/>
      <c r="E212" s="171"/>
      <c r="F212" s="171"/>
      <c r="G212" s="30" t="str">
        <f>IF(E210="", G210, E210 &amp; "." &amp; 3)</f>
        <v>50.3</v>
      </c>
      <c r="H212" s="55"/>
      <c r="I212" s="10"/>
      <c r="J212" s="10"/>
      <c r="K212" s="10"/>
      <c r="L212" s="10"/>
      <c r="M212" s="10"/>
      <c r="N212" s="54"/>
      <c r="O212" s="54">
        <f t="shared" si="9"/>
        <v>0</v>
      </c>
      <c r="P212" s="52">
        <f t="shared" si="10"/>
        <v>0</v>
      </c>
    </row>
    <row r="213" spans="1:16" x14ac:dyDescent="0.25">
      <c r="A213" s="56"/>
      <c r="B213" s="142"/>
      <c r="C213" s="10"/>
      <c r="D213" s="10"/>
      <c r="E213" s="171"/>
      <c r="F213" s="172"/>
      <c r="G213" s="30" t="str">
        <f>IF(E210="", G210, E210 &amp; "." &amp; 4)</f>
        <v>50.4</v>
      </c>
      <c r="H213" s="55"/>
      <c r="I213" s="10"/>
      <c r="J213" s="10"/>
      <c r="K213" s="10"/>
      <c r="L213" s="10"/>
      <c r="M213" s="10"/>
      <c r="N213" s="54"/>
      <c r="O213" s="54">
        <f t="shared" si="9"/>
        <v>0</v>
      </c>
      <c r="P213" s="52">
        <f t="shared" si="10"/>
        <v>0</v>
      </c>
    </row>
    <row r="214" spans="1:16" x14ac:dyDescent="0.25">
      <c r="A214" s="56"/>
      <c r="B214" s="142"/>
      <c r="C214" s="10"/>
      <c r="D214" s="10"/>
      <c r="E214" s="170">
        <v>51</v>
      </c>
      <c r="F214" s="170"/>
      <c r="G214" s="30" t="str">
        <f>IF(E214="", G214, E214 &amp; "." &amp; 1)</f>
        <v>51.1</v>
      </c>
      <c r="H214" s="55"/>
      <c r="I214" s="10"/>
      <c r="J214" s="10"/>
      <c r="K214" s="10"/>
      <c r="L214" s="10"/>
      <c r="M214" s="10"/>
      <c r="N214" s="54"/>
      <c r="O214" s="54">
        <f t="shared" si="9"/>
        <v>0</v>
      </c>
      <c r="P214" s="52">
        <f t="shared" si="10"/>
        <v>0</v>
      </c>
    </row>
    <row r="215" spans="1:16" x14ac:dyDescent="0.25">
      <c r="A215" s="56"/>
      <c r="B215" s="142"/>
      <c r="C215" s="10"/>
      <c r="D215" s="10"/>
      <c r="E215" s="171"/>
      <c r="F215" s="171"/>
      <c r="G215" s="30" t="str">
        <f>IF(E214="", G214, E214 &amp; "." &amp; 2)</f>
        <v>51.2</v>
      </c>
      <c r="H215" s="55"/>
      <c r="I215" s="10"/>
      <c r="J215" s="10"/>
      <c r="K215" s="10"/>
      <c r="L215" s="10"/>
      <c r="M215" s="10"/>
      <c r="N215" s="54"/>
      <c r="O215" s="54">
        <f t="shared" si="9"/>
        <v>0</v>
      </c>
      <c r="P215" s="52">
        <f t="shared" si="10"/>
        <v>0</v>
      </c>
    </row>
    <row r="216" spans="1:16" x14ac:dyDescent="0.25">
      <c r="A216" s="56"/>
      <c r="B216" s="142"/>
      <c r="C216" s="10"/>
      <c r="D216" s="10"/>
      <c r="E216" s="171"/>
      <c r="F216" s="171"/>
      <c r="G216" s="30" t="str">
        <f>IF(E214="", G214, E214 &amp; "." &amp; 3)</f>
        <v>51.3</v>
      </c>
      <c r="H216" s="55"/>
      <c r="I216" s="10"/>
      <c r="J216" s="10"/>
      <c r="K216" s="10"/>
      <c r="L216" s="10"/>
      <c r="M216" s="10"/>
      <c r="N216" s="54"/>
      <c r="O216" s="54">
        <f t="shared" si="9"/>
        <v>0</v>
      </c>
      <c r="P216" s="52">
        <f t="shared" si="10"/>
        <v>0</v>
      </c>
    </row>
    <row r="217" spans="1:16" x14ac:dyDescent="0.25">
      <c r="A217" s="56"/>
      <c r="B217" s="142"/>
      <c r="C217" s="10"/>
      <c r="D217" s="10"/>
      <c r="E217" s="171"/>
      <c r="F217" s="172"/>
      <c r="G217" s="30" t="str">
        <f>IF(E214="", G214, E214 &amp; "." &amp; 4)</f>
        <v>51.4</v>
      </c>
      <c r="H217" s="55"/>
      <c r="I217" s="10"/>
      <c r="J217" s="10"/>
      <c r="K217" s="10"/>
      <c r="L217" s="10"/>
      <c r="M217" s="10"/>
      <c r="N217" s="54"/>
      <c r="O217" s="54">
        <f t="shared" si="9"/>
        <v>0</v>
      </c>
      <c r="P217" s="52">
        <f t="shared" si="10"/>
        <v>0</v>
      </c>
    </row>
    <row r="218" spans="1:16" x14ac:dyDescent="0.25">
      <c r="A218" s="56"/>
      <c r="B218" s="142"/>
      <c r="C218" s="10"/>
      <c r="D218" s="10"/>
      <c r="E218" s="170">
        <v>52</v>
      </c>
      <c r="F218" s="170"/>
      <c r="G218" s="30" t="str">
        <f>IF(E218="", G218, E218 &amp; "." &amp; 1)</f>
        <v>52.1</v>
      </c>
      <c r="H218" s="55"/>
      <c r="I218" s="10"/>
      <c r="J218" s="10"/>
      <c r="K218" s="10"/>
      <c r="L218" s="10"/>
      <c r="M218" s="10"/>
      <c r="N218" s="54"/>
      <c r="O218" s="54">
        <f t="shared" si="9"/>
        <v>0</v>
      </c>
      <c r="P218" s="52">
        <f t="shared" si="10"/>
        <v>0</v>
      </c>
    </row>
    <row r="219" spans="1:16" x14ac:dyDescent="0.25">
      <c r="A219" s="56"/>
      <c r="B219" s="142"/>
      <c r="C219" s="10"/>
      <c r="D219" s="10"/>
      <c r="E219" s="171"/>
      <c r="F219" s="171"/>
      <c r="G219" s="30" t="str">
        <f>IF(E218="", G218, E218 &amp; "." &amp; 2)</f>
        <v>52.2</v>
      </c>
      <c r="H219" s="55"/>
      <c r="I219" s="10"/>
      <c r="J219" s="10"/>
      <c r="K219" s="10"/>
      <c r="L219" s="10"/>
      <c r="M219" s="10"/>
      <c r="N219" s="54"/>
      <c r="O219" s="54">
        <f t="shared" si="9"/>
        <v>0</v>
      </c>
      <c r="P219" s="52">
        <f t="shared" si="10"/>
        <v>0</v>
      </c>
    </row>
    <row r="220" spans="1:16" x14ac:dyDescent="0.25">
      <c r="A220" s="56"/>
      <c r="B220" s="142"/>
      <c r="C220" s="10"/>
      <c r="D220" s="10"/>
      <c r="E220" s="171"/>
      <c r="F220" s="171"/>
      <c r="G220" s="30" t="str">
        <f>IF(E218="", G218, E218 &amp; "." &amp; 3)</f>
        <v>52.3</v>
      </c>
      <c r="H220" s="55"/>
      <c r="I220" s="10"/>
      <c r="J220" s="10"/>
      <c r="K220" s="10"/>
      <c r="L220" s="10"/>
      <c r="M220" s="10"/>
      <c r="N220" s="54"/>
      <c r="O220" s="54">
        <f t="shared" si="9"/>
        <v>0</v>
      </c>
      <c r="P220" s="52">
        <f t="shared" si="10"/>
        <v>0</v>
      </c>
    </row>
    <row r="221" spans="1:16" x14ac:dyDescent="0.25">
      <c r="A221" s="56"/>
      <c r="B221" s="142"/>
      <c r="C221" s="10"/>
      <c r="D221" s="10"/>
      <c r="E221" s="171"/>
      <c r="F221" s="172"/>
      <c r="G221" s="30" t="str">
        <f>IF(E218="", G218, E218 &amp; "." &amp; 4)</f>
        <v>52.4</v>
      </c>
      <c r="H221" s="55"/>
      <c r="I221" s="10"/>
      <c r="J221" s="10"/>
      <c r="K221" s="10"/>
      <c r="L221" s="10"/>
      <c r="M221" s="10"/>
      <c r="N221" s="54"/>
      <c r="O221" s="54">
        <f t="shared" si="9"/>
        <v>0</v>
      </c>
      <c r="P221" s="52">
        <f t="shared" si="10"/>
        <v>0</v>
      </c>
    </row>
    <row r="222" spans="1:16" x14ac:dyDescent="0.25">
      <c r="A222" s="56"/>
      <c r="B222" s="142"/>
      <c r="C222" s="10"/>
      <c r="D222" s="10"/>
      <c r="E222" s="170">
        <v>53</v>
      </c>
      <c r="F222" s="170"/>
      <c r="G222" s="30" t="str">
        <f>IF(E222="", G222, E222 &amp; "." &amp; 1)</f>
        <v>53.1</v>
      </c>
      <c r="H222" s="55"/>
      <c r="I222" s="10"/>
      <c r="J222" s="10"/>
      <c r="K222" s="10"/>
      <c r="L222" s="10"/>
      <c r="M222" s="10"/>
      <c r="N222" s="54"/>
      <c r="O222" s="54">
        <f t="shared" si="9"/>
        <v>0</v>
      </c>
      <c r="P222" s="52">
        <f t="shared" si="10"/>
        <v>0</v>
      </c>
    </row>
    <row r="223" spans="1:16" x14ac:dyDescent="0.25">
      <c r="A223" s="56"/>
      <c r="B223" s="142"/>
      <c r="C223" s="10"/>
      <c r="D223" s="10"/>
      <c r="E223" s="171"/>
      <c r="F223" s="171"/>
      <c r="G223" s="30" t="str">
        <f>IF(E222="", G222, E222 &amp; "." &amp; 2)</f>
        <v>53.2</v>
      </c>
      <c r="H223" s="55"/>
      <c r="I223" s="10"/>
      <c r="J223" s="10"/>
      <c r="K223" s="10"/>
      <c r="L223" s="10"/>
      <c r="M223" s="10"/>
      <c r="N223" s="54"/>
      <c r="O223" s="54">
        <f t="shared" si="9"/>
        <v>0</v>
      </c>
      <c r="P223" s="52">
        <f t="shared" si="10"/>
        <v>0</v>
      </c>
    </row>
    <row r="224" spans="1:16" x14ac:dyDescent="0.25">
      <c r="A224" s="56"/>
      <c r="B224" s="142"/>
      <c r="C224" s="10"/>
      <c r="D224" s="10"/>
      <c r="E224" s="171"/>
      <c r="F224" s="171"/>
      <c r="G224" s="30" t="str">
        <f>IF(E222="", G222, E222 &amp; "." &amp; 3)</f>
        <v>53.3</v>
      </c>
      <c r="H224" s="55"/>
      <c r="I224" s="10"/>
      <c r="J224" s="10"/>
      <c r="K224" s="10"/>
      <c r="L224" s="10"/>
      <c r="M224" s="10"/>
      <c r="N224" s="54"/>
      <c r="O224" s="54">
        <f t="shared" si="9"/>
        <v>0</v>
      </c>
      <c r="P224" s="52">
        <f t="shared" si="10"/>
        <v>0</v>
      </c>
    </row>
    <row r="225" spans="1:16" x14ac:dyDescent="0.25">
      <c r="A225" s="56"/>
      <c r="B225" s="142"/>
      <c r="C225" s="10"/>
      <c r="D225" s="10"/>
      <c r="E225" s="171"/>
      <c r="F225" s="172"/>
      <c r="G225" s="30" t="str">
        <f>IF(E222="", G222, E222 &amp; "." &amp; 4)</f>
        <v>53.4</v>
      </c>
      <c r="H225" s="55"/>
      <c r="I225" s="10"/>
      <c r="J225" s="10"/>
      <c r="K225" s="10"/>
      <c r="L225" s="10"/>
      <c r="M225" s="10"/>
      <c r="N225" s="54"/>
      <c r="O225" s="54">
        <f t="shared" si="9"/>
        <v>0</v>
      </c>
      <c r="P225" s="52">
        <f t="shared" si="10"/>
        <v>0</v>
      </c>
    </row>
    <row r="226" spans="1:16" x14ac:dyDescent="0.25">
      <c r="A226" s="56"/>
      <c r="B226" s="142"/>
      <c r="C226" s="10"/>
      <c r="D226" s="10"/>
      <c r="E226" s="170">
        <v>54</v>
      </c>
      <c r="F226" s="170"/>
      <c r="G226" s="30" t="str">
        <f>IF(E226="", G226, E226 &amp; "." &amp; 1)</f>
        <v>54.1</v>
      </c>
      <c r="H226" s="55"/>
      <c r="I226" s="10"/>
      <c r="J226" s="10"/>
      <c r="K226" s="10"/>
      <c r="L226" s="10"/>
      <c r="M226" s="10"/>
      <c r="N226" s="54"/>
      <c r="O226" s="54">
        <f t="shared" si="9"/>
        <v>0</v>
      </c>
      <c r="P226" s="52">
        <f t="shared" si="10"/>
        <v>0</v>
      </c>
    </row>
    <row r="227" spans="1:16" x14ac:dyDescent="0.25">
      <c r="A227" s="56"/>
      <c r="B227" s="142"/>
      <c r="C227" s="10"/>
      <c r="D227" s="10"/>
      <c r="E227" s="171"/>
      <c r="F227" s="171"/>
      <c r="G227" s="30" t="str">
        <f>IF(E226="", G226, E226 &amp; "." &amp; 2)</f>
        <v>54.2</v>
      </c>
      <c r="H227" s="55"/>
      <c r="I227" s="10"/>
      <c r="J227" s="10"/>
      <c r="K227" s="10"/>
      <c r="L227" s="10"/>
      <c r="M227" s="10"/>
      <c r="N227" s="54"/>
      <c r="O227" s="54">
        <f t="shared" si="9"/>
        <v>0</v>
      </c>
      <c r="P227" s="52">
        <f t="shared" si="10"/>
        <v>0</v>
      </c>
    </row>
    <row r="228" spans="1:16" x14ac:dyDescent="0.25">
      <c r="A228" s="56"/>
      <c r="B228" s="142"/>
      <c r="C228" s="10"/>
      <c r="D228" s="10"/>
      <c r="E228" s="171"/>
      <c r="F228" s="171"/>
      <c r="G228" s="30" t="str">
        <f>IF(E226="", G226, E226 &amp; "." &amp; 3)</f>
        <v>54.3</v>
      </c>
      <c r="H228" s="55"/>
      <c r="I228" s="10"/>
      <c r="J228" s="10"/>
      <c r="K228" s="10"/>
      <c r="L228" s="10"/>
      <c r="M228" s="10"/>
      <c r="N228" s="54"/>
      <c r="O228" s="54">
        <f t="shared" si="9"/>
        <v>0</v>
      </c>
      <c r="P228" s="52">
        <f t="shared" si="10"/>
        <v>0</v>
      </c>
    </row>
    <row r="229" spans="1:16" x14ac:dyDescent="0.25">
      <c r="A229" s="56"/>
      <c r="B229" s="142"/>
      <c r="C229" s="10"/>
      <c r="D229" s="10"/>
      <c r="E229" s="171"/>
      <c r="F229" s="172"/>
      <c r="G229" s="30" t="str">
        <f>IF(E226="", G226, E226 &amp; "." &amp; 4)</f>
        <v>54.4</v>
      </c>
      <c r="H229" s="55"/>
      <c r="I229" s="10"/>
      <c r="J229" s="10"/>
      <c r="K229" s="10"/>
      <c r="L229" s="10"/>
      <c r="M229" s="10"/>
      <c r="N229" s="54"/>
      <c r="O229" s="54">
        <f t="shared" si="9"/>
        <v>0</v>
      </c>
      <c r="P229" s="52">
        <f t="shared" si="10"/>
        <v>0</v>
      </c>
    </row>
    <row r="230" spans="1:16" x14ac:dyDescent="0.25">
      <c r="A230" s="62"/>
      <c r="B230" s="150"/>
      <c r="C230" s="26"/>
      <c r="D230" s="26"/>
      <c r="E230" s="170">
        <v>55</v>
      </c>
      <c r="F230" s="171"/>
      <c r="G230" s="30" t="str">
        <f>IF(E230="", G230, E230 &amp; "." &amp; 1)</f>
        <v>55.1</v>
      </c>
      <c r="H230" s="63"/>
      <c r="I230" s="26"/>
      <c r="J230" s="26"/>
      <c r="K230" s="26"/>
      <c r="L230" s="26"/>
      <c r="M230" s="26"/>
      <c r="N230" s="51"/>
      <c r="O230" s="51">
        <f t="shared" si="9"/>
        <v>0</v>
      </c>
      <c r="P230" s="64">
        <f t="shared" si="10"/>
        <v>0</v>
      </c>
    </row>
    <row r="231" spans="1:16" x14ac:dyDescent="0.25">
      <c r="A231" s="56"/>
      <c r="B231" s="142"/>
      <c r="C231" s="10"/>
      <c r="D231" s="10"/>
      <c r="E231" s="171"/>
      <c r="F231" s="171"/>
      <c r="G231" s="30" t="str">
        <f>IF(E230="", G230, E230 &amp; "." &amp; 2)</f>
        <v>55.2</v>
      </c>
      <c r="H231" s="55"/>
      <c r="I231" s="10"/>
      <c r="J231" s="10"/>
      <c r="K231" s="10"/>
      <c r="L231" s="10"/>
      <c r="M231" s="10"/>
      <c r="N231" s="54"/>
      <c r="O231" s="54">
        <f t="shared" si="9"/>
        <v>0</v>
      </c>
      <c r="P231" s="52">
        <f t="shared" si="10"/>
        <v>0</v>
      </c>
    </row>
    <row r="232" spans="1:16" x14ac:dyDescent="0.25">
      <c r="A232" s="56"/>
      <c r="B232" s="142"/>
      <c r="C232" s="10"/>
      <c r="D232" s="10"/>
      <c r="E232" s="171"/>
      <c r="F232" s="171"/>
      <c r="G232" s="30" t="str">
        <f>IF(E230="", G230, E230 &amp; "." &amp; 3)</f>
        <v>55.3</v>
      </c>
      <c r="H232" s="55"/>
      <c r="I232" s="10"/>
      <c r="J232" s="10"/>
      <c r="K232" s="10"/>
      <c r="L232" s="10"/>
      <c r="M232" s="10"/>
      <c r="N232" s="54"/>
      <c r="O232" s="54">
        <f t="shared" si="9"/>
        <v>0</v>
      </c>
      <c r="P232" s="52">
        <f t="shared" si="10"/>
        <v>0</v>
      </c>
    </row>
    <row r="233" spans="1:16" x14ac:dyDescent="0.25">
      <c r="A233" s="56"/>
      <c r="B233" s="142"/>
      <c r="C233" s="10"/>
      <c r="D233" s="10"/>
      <c r="E233" s="171"/>
      <c r="F233" s="172"/>
      <c r="G233" s="30" t="str">
        <f>IF(E230="", G230, E230 &amp; "." &amp; 4)</f>
        <v>55.4</v>
      </c>
      <c r="H233" s="55"/>
      <c r="I233" s="10"/>
      <c r="J233" s="10"/>
      <c r="K233" s="10"/>
      <c r="L233" s="10"/>
      <c r="M233" s="10"/>
      <c r="N233" s="54"/>
      <c r="O233" s="54">
        <f t="shared" si="9"/>
        <v>0</v>
      </c>
      <c r="P233" s="52">
        <f t="shared" si="10"/>
        <v>0</v>
      </c>
    </row>
    <row r="234" spans="1:16" x14ac:dyDescent="0.25">
      <c r="A234" s="56"/>
      <c r="B234" s="142"/>
      <c r="C234" s="10"/>
      <c r="D234" s="10"/>
      <c r="E234" s="170">
        <v>56</v>
      </c>
      <c r="F234" s="170"/>
      <c r="G234" s="30" t="str">
        <f>IF(E234="", G234, E234 &amp; "." &amp; 1)</f>
        <v>56.1</v>
      </c>
      <c r="H234" s="55"/>
      <c r="I234" s="10"/>
      <c r="J234" s="10"/>
      <c r="K234" s="10"/>
      <c r="L234" s="10"/>
      <c r="M234" s="10"/>
      <c r="N234" s="54"/>
      <c r="O234" s="54">
        <f t="shared" si="9"/>
        <v>0</v>
      </c>
      <c r="P234" s="52">
        <f t="shared" si="10"/>
        <v>0</v>
      </c>
    </row>
    <row r="235" spans="1:16" x14ac:dyDescent="0.25">
      <c r="A235" s="56"/>
      <c r="B235" s="142"/>
      <c r="C235" s="10"/>
      <c r="D235" s="10"/>
      <c r="E235" s="171"/>
      <c r="F235" s="171"/>
      <c r="G235" s="30" t="str">
        <f>IF(E234="", G234, E234 &amp; "." &amp; 2)</f>
        <v>56.2</v>
      </c>
      <c r="H235" s="55"/>
      <c r="I235" s="10"/>
      <c r="J235" s="10"/>
      <c r="K235" s="10"/>
      <c r="L235" s="10"/>
      <c r="M235" s="10"/>
      <c r="N235" s="54"/>
      <c r="O235" s="54">
        <f t="shared" si="9"/>
        <v>0</v>
      </c>
      <c r="P235" s="52">
        <f t="shared" si="10"/>
        <v>0</v>
      </c>
    </row>
    <row r="236" spans="1:16" x14ac:dyDescent="0.25">
      <c r="A236" s="56"/>
      <c r="B236" s="142"/>
      <c r="C236" s="10"/>
      <c r="D236" s="10"/>
      <c r="E236" s="171"/>
      <c r="F236" s="171"/>
      <c r="G236" s="30" t="str">
        <f>IF(E234="", G234, E234 &amp; "." &amp; 3)</f>
        <v>56.3</v>
      </c>
      <c r="H236" s="55"/>
      <c r="I236" s="10"/>
      <c r="J236" s="10"/>
      <c r="K236" s="10"/>
      <c r="L236" s="10"/>
      <c r="M236" s="10"/>
      <c r="N236" s="54"/>
      <c r="O236" s="54">
        <f t="shared" si="9"/>
        <v>0</v>
      </c>
      <c r="P236" s="52">
        <f t="shared" si="10"/>
        <v>0</v>
      </c>
    </row>
    <row r="237" spans="1:16" x14ac:dyDescent="0.25">
      <c r="A237" s="56"/>
      <c r="B237" s="142"/>
      <c r="C237" s="10"/>
      <c r="D237" s="10"/>
      <c r="E237" s="171"/>
      <c r="F237" s="172"/>
      <c r="G237" s="30" t="str">
        <f>IF(E234="", G234, E234 &amp; "." &amp; 4)</f>
        <v>56.4</v>
      </c>
      <c r="H237" s="55"/>
      <c r="I237" s="10"/>
      <c r="J237" s="10"/>
      <c r="K237" s="10"/>
      <c r="L237" s="10"/>
      <c r="M237" s="10"/>
      <c r="N237" s="54"/>
      <c r="O237" s="54">
        <f t="shared" si="9"/>
        <v>0</v>
      </c>
      <c r="P237" s="52">
        <f t="shared" si="10"/>
        <v>0</v>
      </c>
    </row>
    <row r="238" spans="1:16" x14ac:dyDescent="0.25">
      <c r="A238" s="56"/>
      <c r="B238" s="142"/>
      <c r="C238" s="10"/>
      <c r="D238" s="10"/>
      <c r="E238" s="170">
        <v>57</v>
      </c>
      <c r="F238" s="170"/>
      <c r="G238" s="30" t="str">
        <f>IF(E238="", G238, E238 &amp; "." &amp; 1)</f>
        <v>57.1</v>
      </c>
      <c r="H238" s="55"/>
      <c r="I238" s="10"/>
      <c r="J238" s="10"/>
      <c r="K238" s="10"/>
      <c r="L238" s="10"/>
      <c r="M238" s="10"/>
      <c r="N238" s="54"/>
      <c r="O238" s="54">
        <f t="shared" si="9"/>
        <v>0</v>
      </c>
      <c r="P238" s="52">
        <f t="shared" si="10"/>
        <v>0</v>
      </c>
    </row>
    <row r="239" spans="1:16" x14ac:dyDescent="0.25">
      <c r="A239" s="56"/>
      <c r="B239" s="142"/>
      <c r="C239" s="10"/>
      <c r="D239" s="10"/>
      <c r="E239" s="171"/>
      <c r="F239" s="171"/>
      <c r="G239" s="30" t="str">
        <f>IF(E238="", G238, E238 &amp; "." &amp; 2)</f>
        <v>57.2</v>
      </c>
      <c r="H239" s="55"/>
      <c r="I239" s="10"/>
      <c r="J239" s="10"/>
      <c r="K239" s="10"/>
      <c r="L239" s="10"/>
      <c r="M239" s="10"/>
      <c r="N239" s="54"/>
      <c r="O239" s="54">
        <f t="shared" si="9"/>
        <v>0</v>
      </c>
      <c r="P239" s="52">
        <f t="shared" si="10"/>
        <v>0</v>
      </c>
    </row>
    <row r="240" spans="1:16" x14ac:dyDescent="0.25">
      <c r="A240" s="56"/>
      <c r="B240" s="142"/>
      <c r="C240" s="10"/>
      <c r="D240" s="10"/>
      <c r="E240" s="171"/>
      <c r="F240" s="171"/>
      <c r="G240" s="30" t="str">
        <f>IF(E238="", G238, E238 &amp; "." &amp; 3)</f>
        <v>57.3</v>
      </c>
      <c r="H240" s="55"/>
      <c r="I240" s="10"/>
      <c r="J240" s="10"/>
      <c r="K240" s="10"/>
      <c r="L240" s="10"/>
      <c r="M240" s="10"/>
      <c r="N240" s="54"/>
      <c r="O240" s="54">
        <f t="shared" si="9"/>
        <v>0</v>
      </c>
      <c r="P240" s="52">
        <f t="shared" si="10"/>
        <v>0</v>
      </c>
    </row>
    <row r="241" spans="1:16" x14ac:dyDescent="0.25">
      <c r="A241" s="56"/>
      <c r="B241" s="142"/>
      <c r="C241" s="10"/>
      <c r="D241" s="10"/>
      <c r="E241" s="171"/>
      <c r="F241" s="172"/>
      <c r="G241" s="30" t="str">
        <f>IF(E238="", G238, E238 &amp; "." &amp; 4)</f>
        <v>57.4</v>
      </c>
      <c r="H241" s="55"/>
      <c r="I241" s="10"/>
      <c r="J241" s="10"/>
      <c r="K241" s="10"/>
      <c r="L241" s="10"/>
      <c r="M241" s="10"/>
      <c r="N241" s="54"/>
      <c r="O241" s="54">
        <f t="shared" si="9"/>
        <v>0</v>
      </c>
      <c r="P241" s="52">
        <f t="shared" si="10"/>
        <v>0</v>
      </c>
    </row>
    <row r="242" spans="1:16" x14ac:dyDescent="0.25">
      <c r="A242" s="56"/>
      <c r="B242" s="142"/>
      <c r="C242" s="10"/>
      <c r="D242" s="10"/>
      <c r="E242" s="170">
        <v>58</v>
      </c>
      <c r="F242" s="170"/>
      <c r="G242" s="30" t="str">
        <f>IF(E242="", G242, E242 &amp; "." &amp; 1)</f>
        <v>58.1</v>
      </c>
      <c r="H242" s="55"/>
      <c r="I242" s="10"/>
      <c r="J242" s="10"/>
      <c r="K242" s="10"/>
      <c r="L242" s="10"/>
      <c r="M242" s="10"/>
      <c r="N242" s="54"/>
      <c r="O242" s="54">
        <f t="shared" si="9"/>
        <v>0</v>
      </c>
      <c r="P242" s="52">
        <f t="shared" si="10"/>
        <v>0</v>
      </c>
    </row>
    <row r="243" spans="1:16" x14ac:dyDescent="0.25">
      <c r="A243" s="56"/>
      <c r="B243" s="142"/>
      <c r="C243" s="10"/>
      <c r="D243" s="10"/>
      <c r="E243" s="171"/>
      <c r="F243" s="171"/>
      <c r="G243" s="30" t="str">
        <f>IF(E242="", G242, E242 &amp; "." &amp; 2)</f>
        <v>58.2</v>
      </c>
      <c r="H243" s="55"/>
      <c r="I243" s="10"/>
      <c r="J243" s="10"/>
      <c r="K243" s="10"/>
      <c r="L243" s="10"/>
      <c r="M243" s="10"/>
      <c r="N243" s="54"/>
      <c r="O243" s="54">
        <f t="shared" si="9"/>
        <v>0</v>
      </c>
      <c r="P243" s="52">
        <f t="shared" si="10"/>
        <v>0</v>
      </c>
    </row>
    <row r="244" spans="1:16" x14ac:dyDescent="0.25">
      <c r="A244" s="56"/>
      <c r="B244" s="142"/>
      <c r="C244" s="10"/>
      <c r="D244" s="10"/>
      <c r="E244" s="171"/>
      <c r="F244" s="171"/>
      <c r="G244" s="30" t="str">
        <f>IF(E242="", G242, E242 &amp; "." &amp; 3)</f>
        <v>58.3</v>
      </c>
      <c r="H244" s="55"/>
      <c r="I244" s="10"/>
      <c r="J244" s="10"/>
      <c r="K244" s="10"/>
      <c r="L244" s="10"/>
      <c r="M244" s="10"/>
      <c r="N244" s="54"/>
      <c r="O244" s="54">
        <f t="shared" si="9"/>
        <v>0</v>
      </c>
      <c r="P244" s="52">
        <f t="shared" si="10"/>
        <v>0</v>
      </c>
    </row>
    <row r="245" spans="1:16" x14ac:dyDescent="0.25">
      <c r="A245" s="56"/>
      <c r="B245" s="142"/>
      <c r="C245" s="10"/>
      <c r="D245" s="10"/>
      <c r="E245" s="171"/>
      <c r="F245" s="172"/>
      <c r="G245" s="30" t="str">
        <f>IF(E242="", G242, E242 &amp; "." &amp; 4)</f>
        <v>58.4</v>
      </c>
      <c r="H245" s="55"/>
      <c r="I245" s="10"/>
      <c r="J245" s="10"/>
      <c r="K245" s="10"/>
      <c r="L245" s="10"/>
      <c r="M245" s="10"/>
      <c r="N245" s="54"/>
      <c r="O245" s="54">
        <f t="shared" si="9"/>
        <v>0</v>
      </c>
      <c r="P245" s="52">
        <f t="shared" si="10"/>
        <v>0</v>
      </c>
    </row>
    <row r="246" spans="1:16" x14ac:dyDescent="0.25">
      <c r="A246" s="62"/>
      <c r="B246" s="150"/>
      <c r="C246" s="26"/>
      <c r="D246" s="26"/>
      <c r="E246" s="170">
        <v>59</v>
      </c>
      <c r="F246" s="171"/>
      <c r="G246" s="30" t="str">
        <f>IF(E246="", G246, E246 &amp; "." &amp; 1)</f>
        <v>59.1</v>
      </c>
      <c r="H246" s="63"/>
      <c r="I246" s="26"/>
      <c r="J246" s="26"/>
      <c r="K246" s="26"/>
      <c r="L246" s="26"/>
      <c r="M246" s="26"/>
      <c r="N246" s="51"/>
      <c r="O246" s="51">
        <f t="shared" si="9"/>
        <v>0</v>
      </c>
      <c r="P246" s="64">
        <f t="shared" si="10"/>
        <v>0</v>
      </c>
    </row>
    <row r="247" spans="1:16" x14ac:dyDescent="0.25">
      <c r="A247" s="56"/>
      <c r="B247" s="142"/>
      <c r="C247" s="10"/>
      <c r="D247" s="10"/>
      <c r="E247" s="171"/>
      <c r="F247" s="171"/>
      <c r="G247" s="30" t="str">
        <f>IF(E246="", G246, E246 &amp; "." &amp; 2)</f>
        <v>59.2</v>
      </c>
      <c r="H247" s="55"/>
      <c r="I247" s="10"/>
      <c r="J247" s="10"/>
      <c r="K247" s="10"/>
      <c r="L247" s="10"/>
      <c r="M247" s="10"/>
      <c r="N247" s="54"/>
      <c r="O247" s="54">
        <f t="shared" si="9"/>
        <v>0</v>
      </c>
      <c r="P247" s="52">
        <f t="shared" si="10"/>
        <v>0</v>
      </c>
    </row>
    <row r="248" spans="1:16" x14ac:dyDescent="0.25">
      <c r="A248" s="56"/>
      <c r="B248" s="142"/>
      <c r="C248" s="10"/>
      <c r="D248" s="10"/>
      <c r="E248" s="171"/>
      <c r="F248" s="171"/>
      <c r="G248" s="30" t="str">
        <f>IF(E246="", G246, E246 &amp; "." &amp; 3)</f>
        <v>59.3</v>
      </c>
      <c r="H248" s="55"/>
      <c r="I248" s="10"/>
      <c r="J248" s="10"/>
      <c r="K248" s="10"/>
      <c r="L248" s="10"/>
      <c r="M248" s="10"/>
      <c r="N248" s="54"/>
      <c r="O248" s="54">
        <f t="shared" si="9"/>
        <v>0</v>
      </c>
      <c r="P248" s="52">
        <f t="shared" si="10"/>
        <v>0</v>
      </c>
    </row>
    <row r="249" spans="1:16" ht="15.75" thickBot="1" x14ac:dyDescent="0.3">
      <c r="A249" s="132"/>
      <c r="B249" s="151"/>
      <c r="C249" s="133"/>
      <c r="D249" s="133"/>
      <c r="E249" s="173"/>
      <c r="F249" s="173"/>
      <c r="G249" s="38" t="str">
        <f>IF(E246="", G246, E246 &amp; "." &amp; 4)</f>
        <v>59.4</v>
      </c>
      <c r="H249" s="134"/>
      <c r="I249" s="133"/>
      <c r="J249" s="133"/>
      <c r="K249" s="133"/>
      <c r="L249" s="133"/>
      <c r="M249" s="133"/>
      <c r="N249" s="135"/>
      <c r="O249" s="135">
        <f t="shared" si="9"/>
        <v>0</v>
      </c>
      <c r="P249" s="53">
        <f t="shared" si="10"/>
        <v>0</v>
      </c>
    </row>
    <row r="250" spans="1:16" ht="25.5" customHeight="1" x14ac:dyDescent="0.25">
      <c r="A250" s="161" t="s">
        <v>219</v>
      </c>
      <c r="B250" s="147"/>
      <c r="C250" s="163" t="s">
        <v>321</v>
      </c>
      <c r="D250" s="163" t="s">
        <v>343</v>
      </c>
      <c r="E250" s="175" t="s">
        <v>338</v>
      </c>
      <c r="F250" s="176"/>
      <c r="G250" s="57"/>
      <c r="H250" s="163" t="s">
        <v>325</v>
      </c>
      <c r="I250" s="163" t="s">
        <v>332</v>
      </c>
      <c r="J250" s="163" t="s">
        <v>326</v>
      </c>
      <c r="K250" s="163" t="s">
        <v>337</v>
      </c>
      <c r="L250" s="192" t="s">
        <v>331</v>
      </c>
      <c r="M250" s="193"/>
      <c r="N250" s="194"/>
      <c r="O250" s="163" t="s">
        <v>329</v>
      </c>
      <c r="P250" s="190" t="s">
        <v>330</v>
      </c>
    </row>
    <row r="251" spans="1:16" ht="15.75" thickBot="1" x14ac:dyDescent="0.3">
      <c r="A251" s="162"/>
      <c r="B251" s="148"/>
      <c r="C251" s="164"/>
      <c r="D251" s="164"/>
      <c r="E251" s="177"/>
      <c r="F251" s="174"/>
      <c r="G251" s="58"/>
      <c r="H251" s="164"/>
      <c r="I251" s="164"/>
      <c r="J251" s="164"/>
      <c r="K251" s="164"/>
      <c r="L251" s="41" t="s">
        <v>322</v>
      </c>
      <c r="M251" s="41" t="s">
        <v>323</v>
      </c>
      <c r="N251" s="41" t="s">
        <v>324</v>
      </c>
      <c r="O251" s="164"/>
      <c r="P251" s="191"/>
    </row>
    <row r="252" spans="1:16" ht="15.75" thickTop="1" x14ac:dyDescent="0.25">
      <c r="A252" s="32"/>
      <c r="B252" s="149"/>
      <c r="C252" s="33"/>
      <c r="D252" s="40"/>
      <c r="E252" s="170">
        <v>60</v>
      </c>
      <c r="F252" s="170"/>
      <c r="G252" s="30" t="str">
        <f>IF(E252="", G252, E252 &amp; "." &amp; 1)</f>
        <v>60.1</v>
      </c>
      <c r="H252" s="43"/>
      <c r="I252" s="33"/>
      <c r="J252" s="29"/>
      <c r="K252" s="29"/>
      <c r="L252" s="35"/>
      <c r="M252" s="35"/>
      <c r="N252" s="35"/>
      <c r="O252" s="51">
        <f t="shared" ref="O252:O311" si="11">IFERROR(IF(J252="Man",AVERAGE(L252:N252)*K252)/I252,0)</f>
        <v>0</v>
      </c>
      <c r="P252" s="52">
        <f t="shared" ref="P252:P311" si="12">IFERROR(IF(J252="Machine",(AVERAGE(L252:N252)/I252)/60,0),0)</f>
        <v>0</v>
      </c>
    </row>
    <row r="253" spans="1:16" x14ac:dyDescent="0.25">
      <c r="A253" s="32"/>
      <c r="B253" s="149"/>
      <c r="C253" s="33"/>
      <c r="D253" s="61"/>
      <c r="E253" s="171"/>
      <c r="F253" s="171"/>
      <c r="G253" s="30" t="str">
        <f>IF(E252="", G252, E252 &amp; "." &amp; 2)</f>
        <v>60.2</v>
      </c>
      <c r="H253" s="43"/>
      <c r="I253" s="33"/>
      <c r="J253" s="29"/>
      <c r="K253" s="29"/>
      <c r="L253" s="35"/>
      <c r="M253" s="35"/>
      <c r="N253" s="35"/>
      <c r="O253" s="51">
        <f t="shared" si="11"/>
        <v>0</v>
      </c>
      <c r="P253" s="52">
        <f t="shared" si="12"/>
        <v>0</v>
      </c>
    </row>
    <row r="254" spans="1:16" x14ac:dyDescent="0.25">
      <c r="A254" s="32"/>
      <c r="B254" s="149"/>
      <c r="C254" s="33"/>
      <c r="D254" s="61"/>
      <c r="E254" s="171"/>
      <c r="F254" s="171"/>
      <c r="G254" s="30" t="str">
        <f>IF(E252="", G252, E252 &amp; "." &amp; 3)</f>
        <v>60.3</v>
      </c>
      <c r="H254" s="43"/>
      <c r="I254" s="33"/>
      <c r="J254" s="29"/>
      <c r="K254" s="29"/>
      <c r="L254" s="35"/>
      <c r="M254" s="35"/>
      <c r="N254" s="35"/>
      <c r="O254" s="51">
        <f t="shared" si="11"/>
        <v>0</v>
      </c>
      <c r="P254" s="52">
        <f t="shared" si="12"/>
        <v>0</v>
      </c>
    </row>
    <row r="255" spans="1:16" x14ac:dyDescent="0.25">
      <c r="A255" s="32"/>
      <c r="B255" s="149"/>
      <c r="C255" s="33"/>
      <c r="D255" s="61"/>
      <c r="E255" s="171"/>
      <c r="F255" s="172"/>
      <c r="G255" s="30" t="str">
        <f>IF(E252="", G252, E252 &amp; "." &amp; 4)</f>
        <v>60.4</v>
      </c>
      <c r="H255" s="43"/>
      <c r="I255" s="33"/>
      <c r="J255" s="29"/>
      <c r="K255" s="29"/>
      <c r="L255" s="35"/>
      <c r="M255" s="35"/>
      <c r="N255" s="35"/>
      <c r="O255" s="51">
        <f t="shared" si="11"/>
        <v>0</v>
      </c>
      <c r="P255" s="52">
        <f t="shared" si="12"/>
        <v>0</v>
      </c>
    </row>
    <row r="256" spans="1:16" x14ac:dyDescent="0.25">
      <c r="A256" s="32"/>
      <c r="B256" s="149"/>
      <c r="C256" s="33"/>
      <c r="D256" s="40"/>
      <c r="E256" s="170">
        <v>61</v>
      </c>
      <c r="F256" s="170"/>
      <c r="G256" s="30" t="str">
        <f>IF(E256="", G256, E256 &amp; "." &amp; 1)</f>
        <v>61.1</v>
      </c>
      <c r="H256" s="43"/>
      <c r="I256" s="33"/>
      <c r="J256" s="29"/>
      <c r="K256" s="29"/>
      <c r="L256" s="35"/>
      <c r="M256" s="35"/>
      <c r="N256" s="35"/>
      <c r="O256" s="51">
        <f t="shared" si="11"/>
        <v>0</v>
      </c>
      <c r="P256" s="52">
        <f t="shared" si="12"/>
        <v>0</v>
      </c>
    </row>
    <row r="257" spans="1:16" x14ac:dyDescent="0.25">
      <c r="A257" s="32"/>
      <c r="B257" s="149"/>
      <c r="C257" s="33"/>
      <c r="D257" s="61"/>
      <c r="E257" s="171"/>
      <c r="F257" s="171"/>
      <c r="G257" s="30" t="str">
        <f>IF(E256="", G256, E256 &amp; "." &amp; 2)</f>
        <v>61.2</v>
      </c>
      <c r="H257" s="43"/>
      <c r="I257" s="33"/>
      <c r="J257" s="29"/>
      <c r="K257" s="29"/>
      <c r="L257" s="35"/>
      <c r="M257" s="35"/>
      <c r="N257" s="35"/>
      <c r="O257" s="51">
        <f t="shared" si="11"/>
        <v>0</v>
      </c>
      <c r="P257" s="52">
        <f t="shared" si="12"/>
        <v>0</v>
      </c>
    </row>
    <row r="258" spans="1:16" x14ac:dyDescent="0.25">
      <c r="A258" s="32"/>
      <c r="B258" s="149"/>
      <c r="C258" s="33"/>
      <c r="D258" s="61"/>
      <c r="E258" s="171"/>
      <c r="F258" s="171"/>
      <c r="G258" s="30" t="str">
        <f>IF(E256="", G256, E256 &amp; "." &amp; 3)</f>
        <v>61.3</v>
      </c>
      <c r="H258" s="43"/>
      <c r="I258" s="33"/>
      <c r="J258" s="29"/>
      <c r="K258" s="29"/>
      <c r="L258" s="35"/>
      <c r="M258" s="35"/>
      <c r="N258" s="35"/>
      <c r="O258" s="51">
        <f t="shared" si="11"/>
        <v>0</v>
      </c>
      <c r="P258" s="52">
        <f t="shared" si="12"/>
        <v>0</v>
      </c>
    </row>
    <row r="259" spans="1:16" x14ac:dyDescent="0.25">
      <c r="A259" s="32"/>
      <c r="B259" s="149"/>
      <c r="C259" s="33"/>
      <c r="D259" s="61"/>
      <c r="E259" s="171"/>
      <c r="F259" s="172"/>
      <c r="G259" s="30" t="str">
        <f>IF(E256="", G256, E256 &amp; "." &amp; 4)</f>
        <v>61.4</v>
      </c>
      <c r="H259" s="43"/>
      <c r="I259" s="33"/>
      <c r="J259" s="29"/>
      <c r="K259" s="29"/>
      <c r="L259" s="35"/>
      <c r="M259" s="35"/>
      <c r="N259" s="35"/>
      <c r="O259" s="51">
        <f t="shared" si="11"/>
        <v>0</v>
      </c>
      <c r="P259" s="52">
        <f t="shared" si="12"/>
        <v>0</v>
      </c>
    </row>
    <row r="260" spans="1:16" x14ac:dyDescent="0.25">
      <c r="A260" s="32"/>
      <c r="B260" s="149"/>
      <c r="C260" s="33"/>
      <c r="D260" s="40"/>
      <c r="E260" s="170">
        <v>62</v>
      </c>
      <c r="F260" s="170"/>
      <c r="G260" s="30" t="str">
        <f>IF(E260="", G260, E260 &amp; "." &amp; 1)</f>
        <v>62.1</v>
      </c>
      <c r="H260" s="43"/>
      <c r="I260" s="33"/>
      <c r="J260" s="29"/>
      <c r="K260" s="29"/>
      <c r="L260" s="35"/>
      <c r="M260" s="35"/>
      <c r="N260" s="35"/>
      <c r="O260" s="51">
        <f t="shared" si="11"/>
        <v>0</v>
      </c>
      <c r="P260" s="52">
        <f t="shared" si="12"/>
        <v>0</v>
      </c>
    </row>
    <row r="261" spans="1:16" x14ac:dyDescent="0.25">
      <c r="A261" s="32"/>
      <c r="B261" s="149"/>
      <c r="C261" s="33"/>
      <c r="D261" s="61"/>
      <c r="E261" s="171"/>
      <c r="F261" s="171"/>
      <c r="G261" s="30" t="str">
        <f>IF(E260="", G260, E260 &amp; "." &amp; 2)</f>
        <v>62.2</v>
      </c>
      <c r="H261" s="43"/>
      <c r="I261" s="33"/>
      <c r="J261" s="29"/>
      <c r="K261" s="29"/>
      <c r="L261" s="35"/>
      <c r="M261" s="35"/>
      <c r="N261" s="35"/>
      <c r="O261" s="51">
        <f t="shared" si="11"/>
        <v>0</v>
      </c>
      <c r="P261" s="52">
        <f t="shared" si="12"/>
        <v>0</v>
      </c>
    </row>
    <row r="262" spans="1:16" x14ac:dyDescent="0.25">
      <c r="A262" s="32"/>
      <c r="B262" s="149"/>
      <c r="C262" s="33"/>
      <c r="D262" s="61"/>
      <c r="E262" s="171"/>
      <c r="F262" s="171"/>
      <c r="G262" s="30" t="str">
        <f>IF(E260="", G260, E260 &amp; "." &amp; 3)</f>
        <v>62.3</v>
      </c>
      <c r="H262" s="43"/>
      <c r="I262" s="33"/>
      <c r="J262" s="29"/>
      <c r="K262" s="29"/>
      <c r="L262" s="35"/>
      <c r="M262" s="35"/>
      <c r="N262" s="35"/>
      <c r="O262" s="51">
        <f t="shared" si="11"/>
        <v>0</v>
      </c>
      <c r="P262" s="52">
        <f t="shared" si="12"/>
        <v>0</v>
      </c>
    </row>
    <row r="263" spans="1:16" x14ac:dyDescent="0.25">
      <c r="A263" s="32"/>
      <c r="B263" s="149"/>
      <c r="C263" s="33"/>
      <c r="D263" s="61"/>
      <c r="E263" s="171"/>
      <c r="F263" s="172"/>
      <c r="G263" s="30" t="str">
        <f>IF(E260="", G260, E260 &amp; "." &amp; 4)</f>
        <v>62.4</v>
      </c>
      <c r="H263" s="43"/>
      <c r="I263" s="33"/>
      <c r="J263" s="29"/>
      <c r="K263" s="29"/>
      <c r="L263" s="35"/>
      <c r="M263" s="35"/>
      <c r="N263" s="35"/>
      <c r="O263" s="51">
        <f t="shared" si="11"/>
        <v>0</v>
      </c>
      <c r="P263" s="52">
        <f t="shared" si="12"/>
        <v>0</v>
      </c>
    </row>
    <row r="264" spans="1:16" x14ac:dyDescent="0.25">
      <c r="A264" s="32"/>
      <c r="B264" s="149"/>
      <c r="C264" s="33"/>
      <c r="D264" s="40"/>
      <c r="E264" s="170">
        <v>63</v>
      </c>
      <c r="F264" s="170"/>
      <c r="G264" s="30" t="str">
        <f>IF(E264="", G264, E264 &amp; "." &amp; 1)</f>
        <v>63.1</v>
      </c>
      <c r="H264" s="43"/>
      <c r="I264" s="33"/>
      <c r="J264" s="29"/>
      <c r="K264" s="29"/>
      <c r="L264" s="35"/>
      <c r="M264" s="35"/>
      <c r="N264" s="35"/>
      <c r="O264" s="51">
        <f t="shared" si="11"/>
        <v>0</v>
      </c>
      <c r="P264" s="52">
        <f t="shared" si="12"/>
        <v>0</v>
      </c>
    </row>
    <row r="265" spans="1:16" x14ac:dyDescent="0.25">
      <c r="A265" s="32"/>
      <c r="B265" s="149"/>
      <c r="C265" s="33"/>
      <c r="D265" s="61"/>
      <c r="E265" s="171"/>
      <c r="F265" s="171"/>
      <c r="G265" s="30" t="str">
        <f>IF(E264="", G264, E264 &amp; "." &amp; 2)</f>
        <v>63.2</v>
      </c>
      <c r="H265" s="43"/>
      <c r="I265" s="33"/>
      <c r="J265" s="29"/>
      <c r="K265" s="29"/>
      <c r="L265" s="35"/>
      <c r="M265" s="35"/>
      <c r="N265" s="35"/>
      <c r="O265" s="51">
        <f t="shared" si="11"/>
        <v>0</v>
      </c>
      <c r="P265" s="52">
        <f t="shared" si="12"/>
        <v>0</v>
      </c>
    </row>
    <row r="266" spans="1:16" x14ac:dyDescent="0.25">
      <c r="A266" s="32"/>
      <c r="B266" s="149"/>
      <c r="C266" s="33"/>
      <c r="D266" s="61"/>
      <c r="E266" s="171"/>
      <c r="F266" s="171"/>
      <c r="G266" s="30" t="str">
        <f>IF(E264="", G264, E264 &amp; "." &amp; 3)</f>
        <v>63.3</v>
      </c>
      <c r="H266" s="43"/>
      <c r="I266" s="33"/>
      <c r="J266" s="29"/>
      <c r="K266" s="29"/>
      <c r="L266" s="35"/>
      <c r="M266" s="35"/>
      <c r="N266" s="35"/>
      <c r="O266" s="51">
        <f t="shared" si="11"/>
        <v>0</v>
      </c>
      <c r="P266" s="52">
        <f t="shared" si="12"/>
        <v>0</v>
      </c>
    </row>
    <row r="267" spans="1:16" x14ac:dyDescent="0.25">
      <c r="A267" s="32"/>
      <c r="B267" s="149"/>
      <c r="C267" s="33"/>
      <c r="D267" s="61"/>
      <c r="E267" s="171"/>
      <c r="F267" s="172"/>
      <c r="G267" s="30" t="str">
        <f>IF(E264="", G264, E264 &amp; "." &amp; 4)</f>
        <v>63.4</v>
      </c>
      <c r="H267" s="43"/>
      <c r="I267" s="33"/>
      <c r="J267" s="29"/>
      <c r="K267" s="29"/>
      <c r="L267" s="35"/>
      <c r="M267" s="35"/>
      <c r="N267" s="35"/>
      <c r="O267" s="51">
        <f t="shared" si="11"/>
        <v>0</v>
      </c>
      <c r="P267" s="52">
        <f t="shared" si="12"/>
        <v>0</v>
      </c>
    </row>
    <row r="268" spans="1:16" x14ac:dyDescent="0.25">
      <c r="A268" s="32"/>
      <c r="B268" s="149"/>
      <c r="C268" s="33"/>
      <c r="D268" s="33"/>
      <c r="E268" s="170">
        <v>64</v>
      </c>
      <c r="F268" s="170"/>
      <c r="G268" s="30" t="str">
        <f>IF(E268="", G268, E268 &amp; "." &amp; 1)</f>
        <v>64.1</v>
      </c>
      <c r="H268" s="43"/>
      <c r="I268" s="33"/>
      <c r="J268" s="33"/>
      <c r="K268" s="33"/>
      <c r="L268" s="35"/>
      <c r="M268" s="35"/>
      <c r="N268" s="35"/>
      <c r="O268" s="54">
        <f t="shared" si="11"/>
        <v>0</v>
      </c>
      <c r="P268" s="52">
        <f t="shared" si="12"/>
        <v>0</v>
      </c>
    </row>
    <row r="269" spans="1:16" x14ac:dyDescent="0.25">
      <c r="A269" s="32"/>
      <c r="B269" s="149"/>
      <c r="C269" s="33"/>
      <c r="D269" s="33"/>
      <c r="E269" s="171"/>
      <c r="F269" s="171"/>
      <c r="G269" s="30" t="str">
        <f>IF(E268="", G268, E268 &amp; "." &amp; 2)</f>
        <v>64.2</v>
      </c>
      <c r="H269" s="43"/>
      <c r="I269" s="33"/>
      <c r="J269" s="33"/>
      <c r="K269" s="33"/>
      <c r="L269" s="35"/>
      <c r="M269" s="35"/>
      <c r="N269" s="35"/>
      <c r="O269" s="54">
        <f t="shared" si="11"/>
        <v>0</v>
      </c>
      <c r="P269" s="52">
        <f t="shared" si="12"/>
        <v>0</v>
      </c>
    </row>
    <row r="270" spans="1:16" x14ac:dyDescent="0.25">
      <c r="A270" s="32"/>
      <c r="B270" s="149"/>
      <c r="C270" s="33"/>
      <c r="D270" s="33"/>
      <c r="E270" s="171"/>
      <c r="F270" s="171"/>
      <c r="G270" s="30" t="str">
        <f>IF(E268="", G268, E268 &amp; "." &amp; 3)</f>
        <v>64.3</v>
      </c>
      <c r="H270" s="43"/>
      <c r="I270" s="33"/>
      <c r="J270" s="33"/>
      <c r="K270" s="33"/>
      <c r="L270" s="35"/>
      <c r="M270" s="35"/>
      <c r="N270" s="35"/>
      <c r="O270" s="54">
        <f t="shared" si="11"/>
        <v>0</v>
      </c>
      <c r="P270" s="52">
        <f t="shared" si="12"/>
        <v>0</v>
      </c>
    </row>
    <row r="271" spans="1:16" x14ac:dyDescent="0.25">
      <c r="A271" s="56"/>
      <c r="B271" s="142"/>
      <c r="C271" s="10"/>
      <c r="D271" s="10"/>
      <c r="E271" s="171"/>
      <c r="F271" s="172"/>
      <c r="G271" s="30" t="str">
        <f>IF(E268="", G268, E268 &amp; "." &amp; 4)</f>
        <v>64.4</v>
      </c>
      <c r="H271" s="55"/>
      <c r="I271" s="10"/>
      <c r="J271" s="10"/>
      <c r="K271" s="10"/>
      <c r="L271" s="10"/>
      <c r="M271" s="10"/>
      <c r="N271" s="54"/>
      <c r="O271" s="54">
        <f t="shared" si="11"/>
        <v>0</v>
      </c>
      <c r="P271" s="52">
        <f t="shared" si="12"/>
        <v>0</v>
      </c>
    </row>
    <row r="272" spans="1:16" x14ac:dyDescent="0.25">
      <c r="A272" s="56"/>
      <c r="B272" s="142"/>
      <c r="C272" s="10"/>
      <c r="D272" s="10"/>
      <c r="E272" s="170">
        <v>65</v>
      </c>
      <c r="F272" s="170"/>
      <c r="G272" s="30" t="str">
        <f>IF(E272="", G272, E272 &amp; "." &amp; 1)</f>
        <v>65.1</v>
      </c>
      <c r="H272" s="55"/>
      <c r="I272" s="10"/>
      <c r="J272" s="10"/>
      <c r="K272" s="10"/>
      <c r="L272" s="10"/>
      <c r="M272" s="10"/>
      <c r="N272" s="54"/>
      <c r="O272" s="54">
        <f t="shared" si="11"/>
        <v>0</v>
      </c>
      <c r="P272" s="52">
        <f t="shared" si="12"/>
        <v>0</v>
      </c>
    </row>
    <row r="273" spans="1:16" x14ac:dyDescent="0.25">
      <c r="A273" s="56"/>
      <c r="B273" s="142"/>
      <c r="C273" s="10"/>
      <c r="D273" s="10"/>
      <c r="E273" s="171"/>
      <c r="F273" s="171"/>
      <c r="G273" s="30" t="str">
        <f>IF(E272="", G272, E272 &amp; "." &amp; 2)</f>
        <v>65.2</v>
      </c>
      <c r="H273" s="55"/>
      <c r="I273" s="10"/>
      <c r="J273" s="10"/>
      <c r="K273" s="10"/>
      <c r="L273" s="10"/>
      <c r="M273" s="10"/>
      <c r="N273" s="54"/>
      <c r="O273" s="54">
        <f t="shared" si="11"/>
        <v>0</v>
      </c>
      <c r="P273" s="52">
        <f t="shared" si="12"/>
        <v>0</v>
      </c>
    </row>
    <row r="274" spans="1:16" x14ac:dyDescent="0.25">
      <c r="A274" s="56"/>
      <c r="B274" s="142"/>
      <c r="C274" s="10"/>
      <c r="D274" s="10"/>
      <c r="E274" s="171"/>
      <c r="F274" s="171"/>
      <c r="G274" s="30" t="str">
        <f>IF(E272="", G272, E272 &amp; "." &amp; 3)</f>
        <v>65.3</v>
      </c>
      <c r="H274" s="55"/>
      <c r="I274" s="10"/>
      <c r="J274" s="10"/>
      <c r="K274" s="10"/>
      <c r="L274" s="10"/>
      <c r="M274" s="10"/>
      <c r="N274" s="54"/>
      <c r="O274" s="54">
        <f t="shared" si="11"/>
        <v>0</v>
      </c>
      <c r="P274" s="52">
        <f t="shared" si="12"/>
        <v>0</v>
      </c>
    </row>
    <row r="275" spans="1:16" x14ac:dyDescent="0.25">
      <c r="A275" s="56"/>
      <c r="B275" s="142"/>
      <c r="C275" s="10"/>
      <c r="D275" s="10"/>
      <c r="E275" s="171"/>
      <c r="F275" s="172"/>
      <c r="G275" s="30" t="str">
        <f>IF(E272="", G272, E272 &amp; "." &amp; 4)</f>
        <v>65.4</v>
      </c>
      <c r="H275" s="55"/>
      <c r="I275" s="10"/>
      <c r="J275" s="10"/>
      <c r="K275" s="10"/>
      <c r="L275" s="10"/>
      <c r="M275" s="10"/>
      <c r="N275" s="54"/>
      <c r="O275" s="54">
        <f t="shared" si="11"/>
        <v>0</v>
      </c>
      <c r="P275" s="52">
        <f t="shared" si="12"/>
        <v>0</v>
      </c>
    </row>
    <row r="276" spans="1:16" x14ac:dyDescent="0.25">
      <c r="A276" s="56"/>
      <c r="B276" s="142"/>
      <c r="C276" s="10"/>
      <c r="D276" s="10"/>
      <c r="E276" s="170">
        <v>66</v>
      </c>
      <c r="F276" s="170"/>
      <c r="G276" s="30" t="str">
        <f>IF(E276="", G276, E276 &amp; "." &amp; 1)</f>
        <v>66.1</v>
      </c>
      <c r="H276" s="55"/>
      <c r="I276" s="10"/>
      <c r="J276" s="10"/>
      <c r="K276" s="10"/>
      <c r="L276" s="10"/>
      <c r="M276" s="10"/>
      <c r="N276" s="54"/>
      <c r="O276" s="54">
        <f t="shared" si="11"/>
        <v>0</v>
      </c>
      <c r="P276" s="52">
        <f t="shared" si="12"/>
        <v>0</v>
      </c>
    </row>
    <row r="277" spans="1:16" x14ac:dyDescent="0.25">
      <c r="A277" s="56"/>
      <c r="B277" s="142"/>
      <c r="C277" s="10"/>
      <c r="D277" s="10"/>
      <c r="E277" s="171"/>
      <c r="F277" s="171"/>
      <c r="G277" s="30" t="str">
        <f>IF(E276="", G276, E276 &amp; "." &amp; 2)</f>
        <v>66.2</v>
      </c>
      <c r="H277" s="55"/>
      <c r="I277" s="10"/>
      <c r="J277" s="10"/>
      <c r="K277" s="10"/>
      <c r="L277" s="10"/>
      <c r="M277" s="10"/>
      <c r="N277" s="54"/>
      <c r="O277" s="54">
        <f t="shared" si="11"/>
        <v>0</v>
      </c>
      <c r="P277" s="52">
        <f t="shared" si="12"/>
        <v>0</v>
      </c>
    </row>
    <row r="278" spans="1:16" x14ac:dyDescent="0.25">
      <c r="A278" s="56"/>
      <c r="B278" s="142"/>
      <c r="C278" s="10"/>
      <c r="D278" s="10"/>
      <c r="E278" s="171"/>
      <c r="F278" s="171"/>
      <c r="G278" s="30" t="str">
        <f>IF(E276="", G276, E276 &amp; "." &amp; 3)</f>
        <v>66.3</v>
      </c>
      <c r="H278" s="55"/>
      <c r="I278" s="10"/>
      <c r="J278" s="10"/>
      <c r="K278" s="10"/>
      <c r="L278" s="10"/>
      <c r="M278" s="10"/>
      <c r="N278" s="54"/>
      <c r="O278" s="54">
        <f t="shared" si="11"/>
        <v>0</v>
      </c>
      <c r="P278" s="52">
        <f t="shared" si="12"/>
        <v>0</v>
      </c>
    </row>
    <row r="279" spans="1:16" x14ac:dyDescent="0.25">
      <c r="A279" s="56"/>
      <c r="B279" s="142"/>
      <c r="C279" s="10"/>
      <c r="D279" s="10"/>
      <c r="E279" s="171"/>
      <c r="F279" s="172"/>
      <c r="G279" s="30" t="str">
        <f>IF(E276="", G276, E276 &amp; "." &amp; 4)</f>
        <v>66.4</v>
      </c>
      <c r="H279" s="55"/>
      <c r="I279" s="10"/>
      <c r="J279" s="10"/>
      <c r="K279" s="10"/>
      <c r="L279" s="10"/>
      <c r="M279" s="10"/>
      <c r="N279" s="54"/>
      <c r="O279" s="54">
        <f t="shared" si="11"/>
        <v>0</v>
      </c>
      <c r="P279" s="52">
        <f t="shared" si="12"/>
        <v>0</v>
      </c>
    </row>
    <row r="280" spans="1:16" x14ac:dyDescent="0.25">
      <c r="A280" s="56"/>
      <c r="B280" s="142"/>
      <c r="C280" s="10"/>
      <c r="D280" s="10"/>
      <c r="E280" s="170">
        <v>67</v>
      </c>
      <c r="F280" s="170"/>
      <c r="G280" s="30" t="str">
        <f>IF(E280="", G280, E280 &amp; "." &amp; 1)</f>
        <v>67.1</v>
      </c>
      <c r="H280" s="55"/>
      <c r="I280" s="10"/>
      <c r="J280" s="10"/>
      <c r="K280" s="10"/>
      <c r="L280" s="10"/>
      <c r="M280" s="10"/>
      <c r="N280" s="54"/>
      <c r="O280" s="54">
        <f t="shared" si="11"/>
        <v>0</v>
      </c>
      <c r="P280" s="52">
        <f t="shared" si="12"/>
        <v>0</v>
      </c>
    </row>
    <row r="281" spans="1:16" x14ac:dyDescent="0.25">
      <c r="A281" s="56"/>
      <c r="B281" s="142"/>
      <c r="C281" s="10"/>
      <c r="D281" s="10"/>
      <c r="E281" s="171"/>
      <c r="F281" s="171"/>
      <c r="G281" s="30" t="str">
        <f>IF(E280="", G280, E280 &amp; "." &amp; 2)</f>
        <v>67.2</v>
      </c>
      <c r="H281" s="55"/>
      <c r="I281" s="10"/>
      <c r="J281" s="10"/>
      <c r="K281" s="10"/>
      <c r="L281" s="10"/>
      <c r="M281" s="10"/>
      <c r="N281" s="54"/>
      <c r="O281" s="54">
        <f t="shared" si="11"/>
        <v>0</v>
      </c>
      <c r="P281" s="52">
        <f t="shared" si="12"/>
        <v>0</v>
      </c>
    </row>
    <row r="282" spans="1:16" x14ac:dyDescent="0.25">
      <c r="A282" s="56"/>
      <c r="B282" s="142"/>
      <c r="C282" s="10"/>
      <c r="D282" s="10"/>
      <c r="E282" s="171"/>
      <c r="F282" s="171"/>
      <c r="G282" s="30" t="str">
        <f>IF(E280="", G280, E280 &amp; "." &amp; 3)</f>
        <v>67.3</v>
      </c>
      <c r="H282" s="55"/>
      <c r="I282" s="10"/>
      <c r="J282" s="10"/>
      <c r="K282" s="10"/>
      <c r="L282" s="10"/>
      <c r="M282" s="10"/>
      <c r="N282" s="54"/>
      <c r="O282" s="54">
        <f t="shared" si="11"/>
        <v>0</v>
      </c>
      <c r="P282" s="52">
        <f t="shared" si="12"/>
        <v>0</v>
      </c>
    </row>
    <row r="283" spans="1:16" x14ac:dyDescent="0.25">
      <c r="A283" s="56"/>
      <c r="B283" s="142"/>
      <c r="C283" s="10"/>
      <c r="D283" s="10"/>
      <c r="E283" s="171"/>
      <c r="F283" s="172"/>
      <c r="G283" s="30" t="str">
        <f>IF(E280="", G280, E280 &amp; "." &amp; 4)</f>
        <v>67.4</v>
      </c>
      <c r="H283" s="55"/>
      <c r="I283" s="10"/>
      <c r="J283" s="10"/>
      <c r="K283" s="10"/>
      <c r="L283" s="10"/>
      <c r="M283" s="10"/>
      <c r="N283" s="54"/>
      <c r="O283" s="54">
        <f t="shared" si="11"/>
        <v>0</v>
      </c>
      <c r="P283" s="52">
        <f t="shared" si="12"/>
        <v>0</v>
      </c>
    </row>
    <row r="284" spans="1:16" x14ac:dyDescent="0.25">
      <c r="A284" s="56"/>
      <c r="B284" s="142"/>
      <c r="C284" s="10"/>
      <c r="D284" s="10"/>
      <c r="E284" s="170">
        <v>68</v>
      </c>
      <c r="F284" s="170"/>
      <c r="G284" s="30" t="str">
        <f>IF(E284="", G284, E284 &amp; "." &amp; 1)</f>
        <v>68.1</v>
      </c>
      <c r="H284" s="55"/>
      <c r="I284" s="10"/>
      <c r="J284" s="10"/>
      <c r="K284" s="10"/>
      <c r="L284" s="10"/>
      <c r="M284" s="10"/>
      <c r="N284" s="54"/>
      <c r="O284" s="54">
        <f t="shared" si="11"/>
        <v>0</v>
      </c>
      <c r="P284" s="52">
        <f t="shared" si="12"/>
        <v>0</v>
      </c>
    </row>
    <row r="285" spans="1:16" x14ac:dyDescent="0.25">
      <c r="A285" s="56"/>
      <c r="B285" s="142"/>
      <c r="C285" s="10"/>
      <c r="D285" s="10"/>
      <c r="E285" s="171"/>
      <c r="F285" s="171"/>
      <c r="G285" s="30" t="str">
        <f>IF(E284="", G284, E284 &amp; "." &amp; 2)</f>
        <v>68.2</v>
      </c>
      <c r="H285" s="55"/>
      <c r="I285" s="10"/>
      <c r="J285" s="10"/>
      <c r="K285" s="10"/>
      <c r="L285" s="10"/>
      <c r="M285" s="10"/>
      <c r="N285" s="54"/>
      <c r="O285" s="54">
        <f t="shared" si="11"/>
        <v>0</v>
      </c>
      <c r="P285" s="52">
        <f t="shared" si="12"/>
        <v>0</v>
      </c>
    </row>
    <row r="286" spans="1:16" x14ac:dyDescent="0.25">
      <c r="A286" s="56"/>
      <c r="B286" s="142"/>
      <c r="C286" s="10"/>
      <c r="D286" s="10"/>
      <c r="E286" s="171"/>
      <c r="F286" s="171"/>
      <c r="G286" s="30" t="str">
        <f>IF(E284="", G284, E284 &amp; "." &amp; 3)</f>
        <v>68.3</v>
      </c>
      <c r="H286" s="55"/>
      <c r="I286" s="10"/>
      <c r="J286" s="10"/>
      <c r="K286" s="10"/>
      <c r="L286" s="10"/>
      <c r="M286" s="10"/>
      <c r="N286" s="54"/>
      <c r="O286" s="54">
        <f t="shared" si="11"/>
        <v>0</v>
      </c>
      <c r="P286" s="52">
        <f t="shared" si="12"/>
        <v>0</v>
      </c>
    </row>
    <row r="287" spans="1:16" x14ac:dyDescent="0.25">
      <c r="A287" s="56"/>
      <c r="B287" s="142"/>
      <c r="C287" s="10"/>
      <c r="D287" s="10"/>
      <c r="E287" s="171"/>
      <c r="F287" s="172"/>
      <c r="G287" s="30" t="str">
        <f>IF(E284="", G284, E284 &amp; "." &amp; 4)</f>
        <v>68.4</v>
      </c>
      <c r="H287" s="55"/>
      <c r="I287" s="10"/>
      <c r="J287" s="10"/>
      <c r="K287" s="10"/>
      <c r="L287" s="10"/>
      <c r="M287" s="10"/>
      <c r="N287" s="54"/>
      <c r="O287" s="54">
        <f t="shared" si="11"/>
        <v>0</v>
      </c>
      <c r="P287" s="52">
        <f t="shared" si="12"/>
        <v>0</v>
      </c>
    </row>
    <row r="288" spans="1:16" x14ac:dyDescent="0.25">
      <c r="A288" s="56"/>
      <c r="B288" s="142"/>
      <c r="C288" s="10"/>
      <c r="D288" s="10"/>
      <c r="E288" s="170">
        <v>69</v>
      </c>
      <c r="F288" s="170"/>
      <c r="G288" s="30" t="str">
        <f>IF(E288="", G288, E288 &amp; "." &amp; 1)</f>
        <v>69.1</v>
      </c>
      <c r="H288" s="55"/>
      <c r="I288" s="10"/>
      <c r="J288" s="10"/>
      <c r="K288" s="10"/>
      <c r="L288" s="10"/>
      <c r="M288" s="10"/>
      <c r="N288" s="54"/>
      <c r="O288" s="54">
        <f t="shared" si="11"/>
        <v>0</v>
      </c>
      <c r="P288" s="52">
        <f t="shared" si="12"/>
        <v>0</v>
      </c>
    </row>
    <row r="289" spans="1:16" x14ac:dyDescent="0.25">
      <c r="A289" s="56"/>
      <c r="B289" s="142"/>
      <c r="C289" s="10"/>
      <c r="D289" s="10"/>
      <c r="E289" s="171"/>
      <c r="F289" s="171"/>
      <c r="G289" s="30" t="str">
        <f>IF(E288="", G288, E288 &amp; "." &amp; 2)</f>
        <v>69.2</v>
      </c>
      <c r="H289" s="55"/>
      <c r="I289" s="10"/>
      <c r="J289" s="10"/>
      <c r="K289" s="10"/>
      <c r="L289" s="10"/>
      <c r="M289" s="10"/>
      <c r="N289" s="54"/>
      <c r="O289" s="54">
        <f t="shared" si="11"/>
        <v>0</v>
      </c>
      <c r="P289" s="52">
        <f t="shared" si="12"/>
        <v>0</v>
      </c>
    </row>
    <row r="290" spans="1:16" x14ac:dyDescent="0.25">
      <c r="A290" s="56"/>
      <c r="B290" s="142"/>
      <c r="C290" s="10"/>
      <c r="D290" s="10"/>
      <c r="E290" s="171"/>
      <c r="F290" s="171"/>
      <c r="G290" s="30" t="str">
        <f>IF(E288="", G288, E288 &amp; "." &amp; 3)</f>
        <v>69.3</v>
      </c>
      <c r="H290" s="55"/>
      <c r="I290" s="10"/>
      <c r="J290" s="10"/>
      <c r="K290" s="10"/>
      <c r="L290" s="10"/>
      <c r="M290" s="10"/>
      <c r="N290" s="54"/>
      <c r="O290" s="54">
        <f t="shared" si="11"/>
        <v>0</v>
      </c>
      <c r="P290" s="52">
        <f t="shared" si="12"/>
        <v>0</v>
      </c>
    </row>
    <row r="291" spans="1:16" x14ac:dyDescent="0.25">
      <c r="A291" s="56"/>
      <c r="B291" s="142"/>
      <c r="C291" s="10"/>
      <c r="D291" s="10"/>
      <c r="E291" s="171"/>
      <c r="F291" s="172"/>
      <c r="G291" s="30" t="str">
        <f>IF(E288="", G288, E288 &amp; "." &amp; 4)</f>
        <v>69.4</v>
      </c>
      <c r="H291" s="55"/>
      <c r="I291" s="10"/>
      <c r="J291" s="10"/>
      <c r="K291" s="10"/>
      <c r="L291" s="10"/>
      <c r="M291" s="10"/>
      <c r="N291" s="54"/>
      <c r="O291" s="54">
        <f t="shared" si="11"/>
        <v>0</v>
      </c>
      <c r="P291" s="52">
        <f t="shared" si="12"/>
        <v>0</v>
      </c>
    </row>
    <row r="292" spans="1:16" x14ac:dyDescent="0.25">
      <c r="A292" s="62"/>
      <c r="B292" s="150"/>
      <c r="C292" s="26"/>
      <c r="D292" s="26"/>
      <c r="E292" s="170">
        <v>70</v>
      </c>
      <c r="F292" s="171"/>
      <c r="G292" s="30" t="str">
        <f>IF(E292="", G292, E292 &amp; "." &amp; 1)</f>
        <v>70.1</v>
      </c>
      <c r="H292" s="63"/>
      <c r="I292" s="26"/>
      <c r="J292" s="26"/>
      <c r="K292" s="26"/>
      <c r="L292" s="26"/>
      <c r="M292" s="26"/>
      <c r="N292" s="51"/>
      <c r="O292" s="51">
        <f t="shared" si="11"/>
        <v>0</v>
      </c>
      <c r="P292" s="64">
        <f t="shared" si="12"/>
        <v>0</v>
      </c>
    </row>
    <row r="293" spans="1:16" x14ac:dyDescent="0.25">
      <c r="A293" s="56"/>
      <c r="B293" s="142"/>
      <c r="C293" s="10"/>
      <c r="D293" s="10"/>
      <c r="E293" s="171"/>
      <c r="F293" s="171"/>
      <c r="G293" s="30" t="str">
        <f>IF(E292="", G292, E292 &amp; "." &amp; 2)</f>
        <v>70.2</v>
      </c>
      <c r="H293" s="55"/>
      <c r="I293" s="10"/>
      <c r="J293" s="10"/>
      <c r="K293" s="10"/>
      <c r="L293" s="10"/>
      <c r="M293" s="10"/>
      <c r="N293" s="54"/>
      <c r="O293" s="54">
        <f t="shared" si="11"/>
        <v>0</v>
      </c>
      <c r="P293" s="52">
        <f t="shared" si="12"/>
        <v>0</v>
      </c>
    </row>
    <row r="294" spans="1:16" x14ac:dyDescent="0.25">
      <c r="A294" s="56"/>
      <c r="B294" s="142"/>
      <c r="C294" s="10"/>
      <c r="D294" s="10"/>
      <c r="E294" s="171"/>
      <c r="F294" s="171"/>
      <c r="G294" s="30" t="str">
        <f>IF(E292="", G292, E292 &amp; "." &amp; 3)</f>
        <v>70.3</v>
      </c>
      <c r="H294" s="55"/>
      <c r="I294" s="10"/>
      <c r="J294" s="10"/>
      <c r="K294" s="10"/>
      <c r="L294" s="10"/>
      <c r="M294" s="10"/>
      <c r="N294" s="54"/>
      <c r="O294" s="54">
        <f t="shared" si="11"/>
        <v>0</v>
      </c>
      <c r="P294" s="52">
        <f t="shared" si="12"/>
        <v>0</v>
      </c>
    </row>
    <row r="295" spans="1:16" x14ac:dyDescent="0.25">
      <c r="A295" s="56"/>
      <c r="B295" s="142"/>
      <c r="C295" s="10"/>
      <c r="D295" s="10"/>
      <c r="E295" s="171"/>
      <c r="F295" s="172"/>
      <c r="G295" s="30" t="str">
        <f>IF(E292="", G292, E292 &amp; "." &amp; 4)</f>
        <v>70.4</v>
      </c>
      <c r="H295" s="55"/>
      <c r="I295" s="10"/>
      <c r="J295" s="10"/>
      <c r="K295" s="10"/>
      <c r="L295" s="10"/>
      <c r="M295" s="10"/>
      <c r="N295" s="54"/>
      <c r="O295" s="54">
        <f t="shared" si="11"/>
        <v>0</v>
      </c>
      <c r="P295" s="52">
        <f t="shared" si="12"/>
        <v>0</v>
      </c>
    </row>
    <row r="296" spans="1:16" x14ac:dyDescent="0.25">
      <c r="A296" s="56"/>
      <c r="B296" s="142"/>
      <c r="C296" s="10"/>
      <c r="D296" s="10"/>
      <c r="E296" s="170">
        <v>71</v>
      </c>
      <c r="F296" s="170"/>
      <c r="G296" s="30" t="str">
        <f>IF(E296="", G296, E296 &amp; "." &amp; 1)</f>
        <v>71.1</v>
      </c>
      <c r="H296" s="55"/>
      <c r="I296" s="10"/>
      <c r="J296" s="10"/>
      <c r="K296" s="10"/>
      <c r="L296" s="10"/>
      <c r="M296" s="10"/>
      <c r="N296" s="54"/>
      <c r="O296" s="54">
        <f t="shared" si="11"/>
        <v>0</v>
      </c>
      <c r="P296" s="52">
        <f t="shared" si="12"/>
        <v>0</v>
      </c>
    </row>
    <row r="297" spans="1:16" x14ac:dyDescent="0.25">
      <c r="A297" s="56"/>
      <c r="B297" s="142"/>
      <c r="C297" s="10"/>
      <c r="D297" s="10"/>
      <c r="E297" s="171"/>
      <c r="F297" s="171"/>
      <c r="G297" s="30" t="str">
        <f>IF(E296="", G296, E296 &amp; "." &amp; 2)</f>
        <v>71.2</v>
      </c>
      <c r="H297" s="55"/>
      <c r="I297" s="10"/>
      <c r="J297" s="10"/>
      <c r="K297" s="10"/>
      <c r="L297" s="10"/>
      <c r="M297" s="10"/>
      <c r="N297" s="54"/>
      <c r="O297" s="54">
        <f t="shared" si="11"/>
        <v>0</v>
      </c>
      <c r="P297" s="52">
        <f t="shared" si="12"/>
        <v>0</v>
      </c>
    </row>
    <row r="298" spans="1:16" x14ac:dyDescent="0.25">
      <c r="A298" s="56"/>
      <c r="B298" s="142"/>
      <c r="C298" s="10"/>
      <c r="D298" s="10"/>
      <c r="E298" s="171"/>
      <c r="F298" s="171"/>
      <c r="G298" s="30" t="str">
        <f>IF(E296="", G296, E296 &amp; "." &amp; 3)</f>
        <v>71.3</v>
      </c>
      <c r="H298" s="55"/>
      <c r="I298" s="10"/>
      <c r="J298" s="10"/>
      <c r="K298" s="10"/>
      <c r="L298" s="10"/>
      <c r="M298" s="10"/>
      <c r="N298" s="54"/>
      <c r="O298" s="54">
        <f t="shared" si="11"/>
        <v>0</v>
      </c>
      <c r="P298" s="52">
        <f t="shared" si="12"/>
        <v>0</v>
      </c>
    </row>
    <row r="299" spans="1:16" x14ac:dyDescent="0.25">
      <c r="A299" s="56"/>
      <c r="B299" s="142"/>
      <c r="C299" s="10"/>
      <c r="D299" s="10"/>
      <c r="E299" s="171"/>
      <c r="F299" s="172"/>
      <c r="G299" s="30" t="str">
        <f>IF(E296="", G296, E296 &amp; "." &amp; 4)</f>
        <v>71.4</v>
      </c>
      <c r="H299" s="55"/>
      <c r="I299" s="10"/>
      <c r="J299" s="10"/>
      <c r="K299" s="10"/>
      <c r="L299" s="10"/>
      <c r="M299" s="10"/>
      <c r="N299" s="54"/>
      <c r="O299" s="54">
        <f t="shared" si="11"/>
        <v>0</v>
      </c>
      <c r="P299" s="52">
        <f t="shared" si="12"/>
        <v>0</v>
      </c>
    </row>
    <row r="300" spans="1:16" x14ac:dyDescent="0.25">
      <c r="A300" s="56"/>
      <c r="B300" s="142"/>
      <c r="C300" s="10"/>
      <c r="D300" s="10"/>
      <c r="E300" s="170">
        <v>72</v>
      </c>
      <c r="F300" s="170"/>
      <c r="G300" s="30" t="str">
        <f>IF(E300="", G300, E300 &amp; "." &amp; 1)</f>
        <v>72.1</v>
      </c>
      <c r="H300" s="55"/>
      <c r="I300" s="10"/>
      <c r="J300" s="10"/>
      <c r="K300" s="10"/>
      <c r="L300" s="10"/>
      <c r="M300" s="10"/>
      <c r="N300" s="54"/>
      <c r="O300" s="54">
        <f t="shared" si="11"/>
        <v>0</v>
      </c>
      <c r="P300" s="52">
        <f t="shared" si="12"/>
        <v>0</v>
      </c>
    </row>
    <row r="301" spans="1:16" x14ac:dyDescent="0.25">
      <c r="A301" s="56"/>
      <c r="B301" s="142"/>
      <c r="C301" s="10"/>
      <c r="D301" s="10"/>
      <c r="E301" s="171"/>
      <c r="F301" s="171"/>
      <c r="G301" s="30" t="str">
        <f>IF(E300="", G300, E300 &amp; "." &amp; 2)</f>
        <v>72.2</v>
      </c>
      <c r="H301" s="55"/>
      <c r="I301" s="10"/>
      <c r="J301" s="10"/>
      <c r="K301" s="10"/>
      <c r="L301" s="10"/>
      <c r="M301" s="10"/>
      <c r="N301" s="54"/>
      <c r="O301" s="54">
        <f t="shared" si="11"/>
        <v>0</v>
      </c>
      <c r="P301" s="52">
        <f t="shared" si="12"/>
        <v>0</v>
      </c>
    </row>
    <row r="302" spans="1:16" x14ac:dyDescent="0.25">
      <c r="A302" s="56"/>
      <c r="B302" s="142"/>
      <c r="C302" s="10"/>
      <c r="D302" s="10"/>
      <c r="E302" s="171"/>
      <c r="F302" s="171"/>
      <c r="G302" s="30" t="str">
        <f>IF(E300="", G300, E300 &amp; "." &amp; 3)</f>
        <v>72.3</v>
      </c>
      <c r="H302" s="55"/>
      <c r="I302" s="10"/>
      <c r="J302" s="10"/>
      <c r="K302" s="10"/>
      <c r="L302" s="10"/>
      <c r="M302" s="10"/>
      <c r="N302" s="54"/>
      <c r="O302" s="54">
        <f t="shared" si="11"/>
        <v>0</v>
      </c>
      <c r="P302" s="52">
        <f t="shared" si="12"/>
        <v>0</v>
      </c>
    </row>
    <row r="303" spans="1:16" x14ac:dyDescent="0.25">
      <c r="A303" s="56"/>
      <c r="B303" s="142"/>
      <c r="C303" s="10"/>
      <c r="D303" s="10"/>
      <c r="E303" s="171"/>
      <c r="F303" s="172"/>
      <c r="G303" s="30" t="str">
        <f>IF(E300="", G300, E300 &amp; "." &amp; 4)</f>
        <v>72.4</v>
      </c>
      <c r="H303" s="55"/>
      <c r="I303" s="10"/>
      <c r="J303" s="10"/>
      <c r="K303" s="10"/>
      <c r="L303" s="10"/>
      <c r="M303" s="10"/>
      <c r="N303" s="54"/>
      <c r="O303" s="54">
        <f t="shared" si="11"/>
        <v>0</v>
      </c>
      <c r="P303" s="52">
        <f t="shared" si="12"/>
        <v>0</v>
      </c>
    </row>
    <row r="304" spans="1:16" x14ac:dyDescent="0.25">
      <c r="A304" s="56"/>
      <c r="B304" s="142"/>
      <c r="C304" s="10"/>
      <c r="D304" s="10"/>
      <c r="E304" s="170">
        <v>73</v>
      </c>
      <c r="F304" s="170"/>
      <c r="G304" s="30" t="str">
        <f>IF(E304="", G304, E304 &amp; "." &amp; 1)</f>
        <v>73.1</v>
      </c>
      <c r="H304" s="55"/>
      <c r="I304" s="10"/>
      <c r="J304" s="10"/>
      <c r="K304" s="10"/>
      <c r="L304" s="10"/>
      <c r="M304" s="10"/>
      <c r="N304" s="54"/>
      <c r="O304" s="54">
        <f t="shared" si="11"/>
        <v>0</v>
      </c>
      <c r="P304" s="52">
        <f t="shared" si="12"/>
        <v>0</v>
      </c>
    </row>
    <row r="305" spans="1:16" x14ac:dyDescent="0.25">
      <c r="A305" s="56"/>
      <c r="B305" s="142"/>
      <c r="C305" s="10"/>
      <c r="D305" s="10"/>
      <c r="E305" s="171"/>
      <c r="F305" s="171"/>
      <c r="G305" s="30" t="str">
        <f>IF(E304="", G304, E304 &amp; "." &amp; 2)</f>
        <v>73.2</v>
      </c>
      <c r="H305" s="55"/>
      <c r="I305" s="10"/>
      <c r="J305" s="10"/>
      <c r="K305" s="10"/>
      <c r="L305" s="10"/>
      <c r="M305" s="10"/>
      <c r="N305" s="54"/>
      <c r="O305" s="54">
        <f t="shared" si="11"/>
        <v>0</v>
      </c>
      <c r="P305" s="52">
        <f t="shared" si="12"/>
        <v>0</v>
      </c>
    </row>
    <row r="306" spans="1:16" x14ac:dyDescent="0.25">
      <c r="A306" s="56"/>
      <c r="B306" s="142"/>
      <c r="C306" s="10"/>
      <c r="D306" s="10"/>
      <c r="E306" s="171"/>
      <c r="F306" s="171"/>
      <c r="G306" s="30" t="str">
        <f>IF(E304="", G304, E304 &amp; "." &amp; 3)</f>
        <v>73.3</v>
      </c>
      <c r="H306" s="55"/>
      <c r="I306" s="10"/>
      <c r="J306" s="10"/>
      <c r="K306" s="10"/>
      <c r="L306" s="10"/>
      <c r="M306" s="10"/>
      <c r="N306" s="54"/>
      <c r="O306" s="54">
        <f t="shared" si="11"/>
        <v>0</v>
      </c>
      <c r="P306" s="52">
        <f t="shared" si="12"/>
        <v>0</v>
      </c>
    </row>
    <row r="307" spans="1:16" x14ac:dyDescent="0.25">
      <c r="A307" s="56"/>
      <c r="B307" s="142"/>
      <c r="C307" s="10"/>
      <c r="D307" s="10"/>
      <c r="E307" s="171"/>
      <c r="F307" s="172"/>
      <c r="G307" s="30" t="str">
        <f>IF(E304="", G304, E304 &amp; "." &amp; 4)</f>
        <v>73.4</v>
      </c>
      <c r="H307" s="55"/>
      <c r="I307" s="10"/>
      <c r="J307" s="10"/>
      <c r="K307" s="10"/>
      <c r="L307" s="10"/>
      <c r="M307" s="10"/>
      <c r="N307" s="54"/>
      <c r="O307" s="54">
        <f t="shared" si="11"/>
        <v>0</v>
      </c>
      <c r="P307" s="52">
        <f t="shared" si="12"/>
        <v>0</v>
      </c>
    </row>
    <row r="308" spans="1:16" x14ac:dyDescent="0.25">
      <c r="A308" s="62"/>
      <c r="B308" s="150"/>
      <c r="C308" s="26"/>
      <c r="D308" s="26"/>
      <c r="E308" s="170">
        <v>74</v>
      </c>
      <c r="F308" s="171"/>
      <c r="G308" s="34" t="str">
        <f>IF(E308="", G308, E308 &amp; "." &amp; 1)</f>
        <v>74.1</v>
      </c>
      <c r="H308" s="63"/>
      <c r="I308" s="26"/>
      <c r="J308" s="26"/>
      <c r="K308" s="26"/>
      <c r="L308" s="26"/>
      <c r="M308" s="26"/>
      <c r="N308" s="51"/>
      <c r="O308" s="51">
        <f t="shared" si="11"/>
        <v>0</v>
      </c>
      <c r="P308" s="64">
        <f t="shared" si="12"/>
        <v>0</v>
      </c>
    </row>
    <row r="309" spans="1:16" x14ac:dyDescent="0.25">
      <c r="A309" s="56"/>
      <c r="B309" s="142"/>
      <c r="C309" s="10"/>
      <c r="D309" s="10"/>
      <c r="E309" s="171"/>
      <c r="F309" s="171"/>
      <c r="G309" s="30" t="str">
        <f>IF(E308="", G308, E308 &amp; "." &amp; 2)</f>
        <v>74.2</v>
      </c>
      <c r="H309" s="55"/>
      <c r="I309" s="10"/>
      <c r="J309" s="10"/>
      <c r="K309" s="10"/>
      <c r="L309" s="10"/>
      <c r="M309" s="10"/>
      <c r="N309" s="54"/>
      <c r="O309" s="54">
        <f t="shared" si="11"/>
        <v>0</v>
      </c>
      <c r="P309" s="52">
        <f t="shared" si="12"/>
        <v>0</v>
      </c>
    </row>
    <row r="310" spans="1:16" x14ac:dyDescent="0.25">
      <c r="A310" s="56"/>
      <c r="B310" s="142"/>
      <c r="C310" s="10"/>
      <c r="D310" s="10"/>
      <c r="E310" s="171"/>
      <c r="F310" s="171"/>
      <c r="G310" s="30" t="str">
        <f>IF(E308="", G308, E308 &amp; "." &amp; 3)</f>
        <v>74.3</v>
      </c>
      <c r="H310" s="55"/>
      <c r="I310" s="10"/>
      <c r="J310" s="10"/>
      <c r="K310" s="10"/>
      <c r="L310" s="10"/>
      <c r="M310" s="10"/>
      <c r="N310" s="54"/>
      <c r="O310" s="54">
        <f t="shared" si="11"/>
        <v>0</v>
      </c>
      <c r="P310" s="52">
        <f t="shared" si="12"/>
        <v>0</v>
      </c>
    </row>
    <row r="311" spans="1:16" ht="15.75" thickBot="1" x14ac:dyDescent="0.3">
      <c r="A311" s="132"/>
      <c r="B311" s="151"/>
      <c r="C311" s="133"/>
      <c r="D311" s="133"/>
      <c r="E311" s="173"/>
      <c r="F311" s="173"/>
      <c r="G311" s="247" t="str">
        <f>IF(E308="", G308, E308 &amp; "." &amp; 4)</f>
        <v>74.4</v>
      </c>
      <c r="H311" s="134"/>
      <c r="I311" s="133"/>
      <c r="J311" s="133"/>
      <c r="K311" s="133"/>
      <c r="L311" s="133"/>
      <c r="M311" s="133"/>
      <c r="N311" s="135"/>
      <c r="O311" s="135">
        <f t="shared" si="11"/>
        <v>0</v>
      </c>
      <c r="P311" s="53">
        <f t="shared" si="12"/>
        <v>0</v>
      </c>
    </row>
  </sheetData>
  <sheetProtection selectLockedCells="1"/>
  <mergeCells count="264">
    <mergeCell ref="E300:E303"/>
    <mergeCell ref="F300:F303"/>
    <mergeCell ref="E304:E307"/>
    <mergeCell ref="F304:F307"/>
    <mergeCell ref="E308:E311"/>
    <mergeCell ref="F308:F311"/>
    <mergeCell ref="E280:E283"/>
    <mergeCell ref="F280:F283"/>
    <mergeCell ref="E284:E287"/>
    <mergeCell ref="F284:F287"/>
    <mergeCell ref="E288:E291"/>
    <mergeCell ref="F288:F291"/>
    <mergeCell ref="E292:E295"/>
    <mergeCell ref="F292:F295"/>
    <mergeCell ref="E296:E299"/>
    <mergeCell ref="F296:F299"/>
    <mergeCell ref="E260:E263"/>
    <mergeCell ref="F260:F263"/>
    <mergeCell ref="E264:E267"/>
    <mergeCell ref="F264:F267"/>
    <mergeCell ref="E268:E271"/>
    <mergeCell ref="F268:F271"/>
    <mergeCell ref="E272:E275"/>
    <mergeCell ref="F272:F275"/>
    <mergeCell ref="E276:E279"/>
    <mergeCell ref="F276:F279"/>
    <mergeCell ref="I250:I251"/>
    <mergeCell ref="J250:J251"/>
    <mergeCell ref="K250:K251"/>
    <mergeCell ref="L250:N250"/>
    <mergeCell ref="O250:O251"/>
    <mergeCell ref="P250:P251"/>
    <mergeCell ref="E252:E255"/>
    <mergeCell ref="F252:F255"/>
    <mergeCell ref="E256:E259"/>
    <mergeCell ref="F256:F259"/>
    <mergeCell ref="E242:E245"/>
    <mergeCell ref="F242:F245"/>
    <mergeCell ref="E246:E249"/>
    <mergeCell ref="F246:F249"/>
    <mergeCell ref="A250:A251"/>
    <mergeCell ref="C250:C251"/>
    <mergeCell ref="D250:D251"/>
    <mergeCell ref="E250:F251"/>
    <mergeCell ref="H250:H251"/>
    <mergeCell ref="E222:E225"/>
    <mergeCell ref="F222:F225"/>
    <mergeCell ref="E226:E229"/>
    <mergeCell ref="F226:F229"/>
    <mergeCell ref="E230:E233"/>
    <mergeCell ref="F230:F233"/>
    <mergeCell ref="E234:E237"/>
    <mergeCell ref="F234:F237"/>
    <mergeCell ref="E238:E241"/>
    <mergeCell ref="F238:F241"/>
    <mergeCell ref="E202:E205"/>
    <mergeCell ref="F202:F205"/>
    <mergeCell ref="E206:E209"/>
    <mergeCell ref="F206:F209"/>
    <mergeCell ref="E210:E213"/>
    <mergeCell ref="F210:F213"/>
    <mergeCell ref="E214:E217"/>
    <mergeCell ref="F214:F217"/>
    <mergeCell ref="E218:E221"/>
    <mergeCell ref="F218:F221"/>
    <mergeCell ref="K188:K189"/>
    <mergeCell ref="L188:N188"/>
    <mergeCell ref="O188:O189"/>
    <mergeCell ref="P188:P189"/>
    <mergeCell ref="E190:E193"/>
    <mergeCell ref="F190:F193"/>
    <mergeCell ref="E194:E197"/>
    <mergeCell ref="F194:F197"/>
    <mergeCell ref="E198:E201"/>
    <mergeCell ref="F198:F201"/>
    <mergeCell ref="E184:E187"/>
    <mergeCell ref="F184:F187"/>
    <mergeCell ref="A188:A189"/>
    <mergeCell ref="C188:C189"/>
    <mergeCell ref="D188:D189"/>
    <mergeCell ref="E188:F189"/>
    <mergeCell ref="H188:H189"/>
    <mergeCell ref="I188:I189"/>
    <mergeCell ref="J188:J189"/>
    <mergeCell ref="E164:E167"/>
    <mergeCell ref="F164:F167"/>
    <mergeCell ref="E168:E171"/>
    <mergeCell ref="F168:F171"/>
    <mergeCell ref="E172:E175"/>
    <mergeCell ref="F172:F175"/>
    <mergeCell ref="E176:E179"/>
    <mergeCell ref="F176:F179"/>
    <mergeCell ref="E180:E183"/>
    <mergeCell ref="F180:F183"/>
    <mergeCell ref="E144:E147"/>
    <mergeCell ref="F144:F147"/>
    <mergeCell ref="E148:E151"/>
    <mergeCell ref="F148:F151"/>
    <mergeCell ref="E152:E155"/>
    <mergeCell ref="F152:F155"/>
    <mergeCell ref="E156:E159"/>
    <mergeCell ref="F156:F159"/>
    <mergeCell ref="E160:E163"/>
    <mergeCell ref="F160:F163"/>
    <mergeCell ref="O126:O127"/>
    <mergeCell ref="P126:P127"/>
    <mergeCell ref="E128:E131"/>
    <mergeCell ref="F128:F131"/>
    <mergeCell ref="E132:E135"/>
    <mergeCell ref="F132:F135"/>
    <mergeCell ref="E136:E139"/>
    <mergeCell ref="F136:F139"/>
    <mergeCell ref="E140:E143"/>
    <mergeCell ref="F140:F143"/>
    <mergeCell ref="A126:A127"/>
    <mergeCell ref="C126:C127"/>
    <mergeCell ref="D126:D127"/>
    <mergeCell ref="E126:F127"/>
    <mergeCell ref="H126:H127"/>
    <mergeCell ref="I126:I127"/>
    <mergeCell ref="J126:J127"/>
    <mergeCell ref="K126:K127"/>
    <mergeCell ref="L126:N126"/>
    <mergeCell ref="A6:B7"/>
    <mergeCell ref="K6:K7"/>
    <mergeCell ref="E16:E19"/>
    <mergeCell ref="O6:O7"/>
    <mergeCell ref="P6:P7"/>
    <mergeCell ref="J6:J7"/>
    <mergeCell ref="C6:C7"/>
    <mergeCell ref="D6:D7"/>
    <mergeCell ref="L6:N6"/>
    <mergeCell ref="H6:H7"/>
    <mergeCell ref="A8:B8"/>
    <mergeCell ref="A9:B9"/>
    <mergeCell ref="A10:B10"/>
    <mergeCell ref="A11:B11"/>
    <mergeCell ref="A12:B12"/>
    <mergeCell ref="E122:E125"/>
    <mergeCell ref="F122:F125"/>
    <mergeCell ref="O64:O65"/>
    <mergeCell ref="P64:P65"/>
    <mergeCell ref="E106:E109"/>
    <mergeCell ref="F106:F109"/>
    <mergeCell ref="E110:E113"/>
    <mergeCell ref="F110:F113"/>
    <mergeCell ref="I64:I65"/>
    <mergeCell ref="J64:J65"/>
    <mergeCell ref="K64:K65"/>
    <mergeCell ref="L64:N64"/>
    <mergeCell ref="F86:F89"/>
    <mergeCell ref="F90:F93"/>
    <mergeCell ref="F94:F97"/>
    <mergeCell ref="E64:F65"/>
    <mergeCell ref="H64:H65"/>
    <mergeCell ref="E82:E85"/>
    <mergeCell ref="E86:E89"/>
    <mergeCell ref="E90:E93"/>
    <mergeCell ref="E94:E97"/>
    <mergeCell ref="E98:E101"/>
    <mergeCell ref="E66:E69"/>
    <mergeCell ref="E118:E121"/>
    <mergeCell ref="F118:F121"/>
    <mergeCell ref="M2:N2"/>
    <mergeCell ref="M3:N5"/>
    <mergeCell ref="O3:P5"/>
    <mergeCell ref="F98:F101"/>
    <mergeCell ref="F102:F105"/>
    <mergeCell ref="F66:F69"/>
    <mergeCell ref="F70:F73"/>
    <mergeCell ref="F74:F77"/>
    <mergeCell ref="F78:F81"/>
    <mergeCell ref="F82:F85"/>
    <mergeCell ref="I6:I7"/>
    <mergeCell ref="E102:E105"/>
    <mergeCell ref="E6:F7"/>
    <mergeCell ref="F8:F11"/>
    <mergeCell ref="F12:F15"/>
    <mergeCell ref="E60:E63"/>
    <mergeCell ref="E70:E73"/>
    <mergeCell ref="E74:E77"/>
    <mergeCell ref="E78:E81"/>
    <mergeCell ref="E40:E43"/>
    <mergeCell ref="E44:E47"/>
    <mergeCell ref="E48:E51"/>
    <mergeCell ref="E52:E55"/>
    <mergeCell ref="E8:E11"/>
    <mergeCell ref="E12:E15"/>
    <mergeCell ref="V11:V15"/>
    <mergeCell ref="M1:N1"/>
    <mergeCell ref="O1:P1"/>
    <mergeCell ref="E114:E117"/>
    <mergeCell ref="F114:F117"/>
    <mergeCell ref="F16:F19"/>
    <mergeCell ref="F20:F23"/>
    <mergeCell ref="F24:F27"/>
    <mergeCell ref="F32:F35"/>
    <mergeCell ref="F36:F39"/>
    <mergeCell ref="F40:F43"/>
    <mergeCell ref="F44:F47"/>
    <mergeCell ref="F48:F51"/>
    <mergeCell ref="F52:F55"/>
    <mergeCell ref="F56:F59"/>
    <mergeCell ref="F60:F63"/>
    <mergeCell ref="E56:E59"/>
    <mergeCell ref="E20:E23"/>
    <mergeCell ref="E24:E27"/>
    <mergeCell ref="E28:E31"/>
    <mergeCell ref="E32:E35"/>
    <mergeCell ref="E36:E39"/>
    <mergeCell ref="A64:A65"/>
    <mergeCell ref="C64:C65"/>
    <mergeCell ref="D64:D65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63:B63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</mergeCells>
  <phoneticPr fontId="37" type="noConversion"/>
  <conditionalFormatting sqref="Q7">
    <cfRule type="cellIs" dxfId="4" priority="1" operator="equal">
      <formula>"ABNORMAL"</formula>
    </cfRule>
    <cfRule type="cellIs" dxfId="3" priority="2" operator="equal">
      <formula>"NORMAL"</formula>
    </cfRule>
  </conditionalFormatting>
  <conditionalFormatting sqref="Q8:Q11">
    <cfRule type="cellIs" dxfId="2" priority="3" operator="equal">
      <formula>"⚠️ CYCLE 3 MENCOLOK"</formula>
    </cfRule>
    <cfRule type="cellIs" dxfId="1" priority="4" operator="equal">
      <formula>"⚠️ CYCLE 1 MENCOLOK"</formula>
    </cfRule>
    <cfRule type="cellIs" dxfId="0" priority="5" operator="equal">
      <formula>"⚠️ CYCLE 2 MENCOLOK"</formula>
    </cfRule>
  </conditionalFormatting>
  <dataValidations disablePrompts="1" count="1">
    <dataValidation type="list" allowBlank="1" showInputMessage="1" showErrorMessage="1" sqref="D3" xr:uid="{CAEAA67D-940E-4481-9BDB-B1DB48410D1D}">
      <formula1>"Final Assembly,SPU,Wood Working,Injection,Painting,PCB-AI,PCB-MI,PCB-SMT"</formula1>
    </dataValidation>
  </dataValidations>
  <printOptions horizontalCentered="1" verticalCentered="1"/>
  <pageMargins left="0.25" right="0.25" top="0.75" bottom="0.75" header="0.3" footer="0.3"/>
  <pageSetup paperSize="9" scale="49" orientation="landscape" r:id="rId1"/>
  <headerFooter>
    <oddHeader>&amp;LEF5  Rev1&amp;RConfidential</oddHeader>
  </headerFooter>
  <rowBreaks count="2" manualBreakCount="2">
    <brk id="63" max="15" man="1"/>
    <brk id="125" max="15" man="1"/>
  </rowBreaks>
  <ignoredErrors>
    <ignoredError sqref="P66:P10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5BCD-5CBB-452F-AC22-11C70C683C52}">
  <dimension ref="A1:P125"/>
  <sheetViews>
    <sheetView showGridLines="0" view="pageBreakPreview" zoomScaleNormal="40" zoomScaleSheetLayoutView="100" workbookViewId="0">
      <selection activeCell="H19" sqref="H19"/>
    </sheetView>
  </sheetViews>
  <sheetFormatPr defaultRowHeight="15" x14ac:dyDescent="0.25"/>
  <cols>
    <col min="1" max="1" width="15.85546875" customWidth="1"/>
    <col min="2" max="2" width="26.140625" customWidth="1"/>
    <col min="3" max="3" width="11.5703125" customWidth="1"/>
    <col min="4" max="4" width="3.85546875" customWidth="1"/>
    <col min="5" max="5" width="45" customWidth="1"/>
    <col min="6" max="6" width="7.140625" style="25" customWidth="1"/>
    <col min="7" max="7" width="55.7109375" style="25" customWidth="1"/>
    <col min="8" max="8" width="19.140625" customWidth="1"/>
    <col min="9" max="9" width="7.85546875" customWidth="1"/>
    <col min="10" max="10" width="11.5703125" customWidth="1"/>
    <col min="11" max="11" width="5.28515625" customWidth="1"/>
    <col min="12" max="13" width="7.7109375" customWidth="1"/>
    <col min="14" max="14" width="7.7109375" style="22" customWidth="1"/>
    <col min="15" max="15" width="15.85546875" customWidth="1"/>
    <col min="16" max="16" width="15.85546875" bestFit="1" customWidth="1"/>
  </cols>
  <sheetData>
    <row r="1" spans="1:16" ht="21" thickBot="1" x14ac:dyDescent="0.35">
      <c r="A1" s="45" t="s">
        <v>373</v>
      </c>
      <c r="B1" s="46"/>
      <c r="C1" s="46"/>
      <c r="D1" s="46"/>
      <c r="E1" s="46"/>
      <c r="F1" s="47"/>
      <c r="G1" s="47"/>
      <c r="H1" s="46"/>
      <c r="I1" s="46"/>
      <c r="J1" s="46"/>
      <c r="K1" s="46"/>
      <c r="L1" s="46"/>
      <c r="M1" s="166" t="s">
        <v>367</v>
      </c>
      <c r="N1" s="167"/>
      <c r="O1" s="166">
        <f>'COVER 1'!Y6</f>
        <v>0</v>
      </c>
      <c r="P1" s="168"/>
    </row>
    <row r="2" spans="1:16" ht="15.75" thickTop="1" x14ac:dyDescent="0.25">
      <c r="A2" s="48" t="s">
        <v>365</v>
      </c>
      <c r="B2">
        <f>'COVER 1'!H6</f>
        <v>0</v>
      </c>
      <c r="M2" s="179" t="s">
        <v>339</v>
      </c>
      <c r="N2" s="180"/>
      <c r="O2" s="59" t="s">
        <v>340</v>
      </c>
      <c r="P2" s="60" t="s">
        <v>341</v>
      </c>
    </row>
    <row r="3" spans="1:16" x14ac:dyDescent="0.25">
      <c r="A3" s="48" t="s">
        <v>366</v>
      </c>
      <c r="B3" s="131">
        <f>'COVER 1'!H10</f>
        <v>0</v>
      </c>
      <c r="C3" s="131"/>
      <c r="M3" s="181"/>
      <c r="N3" s="182"/>
      <c r="O3" s="185" t="s">
        <v>342</v>
      </c>
      <c r="P3" s="186"/>
    </row>
    <row r="4" spans="1:16" x14ac:dyDescent="0.25">
      <c r="A4" s="50" t="s">
        <v>364</v>
      </c>
      <c r="B4">
        <f>'COVER 1'!Y10</f>
        <v>0</v>
      </c>
      <c r="M4" s="181"/>
      <c r="N4" s="182"/>
      <c r="O4" s="181"/>
      <c r="P4" s="187"/>
    </row>
    <row r="5" spans="1:16" ht="15.75" thickBot="1" x14ac:dyDescent="0.3">
      <c r="A5" s="27"/>
      <c r="M5" s="183"/>
      <c r="N5" s="184"/>
      <c r="O5" s="183"/>
      <c r="P5" s="188"/>
    </row>
    <row r="6" spans="1:16" s="1" customFormat="1" ht="25.5" customHeight="1" x14ac:dyDescent="0.25">
      <c r="A6" s="161" t="s">
        <v>219</v>
      </c>
      <c r="B6" s="163" t="s">
        <v>321</v>
      </c>
      <c r="C6" s="163" t="s">
        <v>372</v>
      </c>
      <c r="D6" s="175" t="s">
        <v>338</v>
      </c>
      <c r="E6" s="176"/>
      <c r="F6" s="57"/>
      <c r="G6" s="163" t="s">
        <v>325</v>
      </c>
      <c r="H6" s="163" t="s">
        <v>327</v>
      </c>
      <c r="I6" s="163" t="s">
        <v>332</v>
      </c>
      <c r="J6" s="163" t="s">
        <v>326</v>
      </c>
      <c r="K6" s="163" t="s">
        <v>337</v>
      </c>
      <c r="L6" s="192" t="s">
        <v>331</v>
      </c>
      <c r="M6" s="193"/>
      <c r="N6" s="194"/>
      <c r="O6" s="163" t="s">
        <v>329</v>
      </c>
      <c r="P6" s="190" t="s">
        <v>330</v>
      </c>
    </row>
    <row r="7" spans="1:16" ht="15.75" thickBot="1" x14ac:dyDescent="0.3">
      <c r="A7" s="162"/>
      <c r="B7" s="164"/>
      <c r="C7" s="164"/>
      <c r="D7" s="177"/>
      <c r="E7" s="174"/>
      <c r="F7" s="58"/>
      <c r="G7" s="164"/>
      <c r="H7" s="164"/>
      <c r="I7" s="164"/>
      <c r="J7" s="164"/>
      <c r="K7" s="164"/>
      <c r="L7" s="41" t="s">
        <v>322</v>
      </c>
      <c r="M7" s="41" t="s">
        <v>323</v>
      </c>
      <c r="N7" s="41" t="s">
        <v>324</v>
      </c>
      <c r="O7" s="164"/>
      <c r="P7" s="191"/>
    </row>
    <row r="8" spans="1:16" ht="15.75" thickTop="1" x14ac:dyDescent="0.25">
      <c r="A8" s="28" t="s">
        <v>374</v>
      </c>
      <c r="B8" s="29" t="s">
        <v>375</v>
      </c>
      <c r="C8" s="61" t="s">
        <v>376</v>
      </c>
      <c r="D8" s="178">
        <v>1</v>
      </c>
      <c r="E8" s="178" t="s">
        <v>377</v>
      </c>
      <c r="F8" s="30">
        <v>1.1000000000000001</v>
      </c>
      <c r="G8" s="42" t="s">
        <v>333</v>
      </c>
      <c r="H8" s="29" t="s">
        <v>328</v>
      </c>
      <c r="I8" s="29">
        <v>3</v>
      </c>
      <c r="J8" s="29" t="str">
        <f>IF(H8="", "", IF(LOWER(H8)="Manual", "Man", "Machine"))</f>
        <v>Man</v>
      </c>
      <c r="K8" s="29">
        <v>1</v>
      </c>
      <c r="L8" s="31">
        <v>9</v>
      </c>
      <c r="M8" s="31">
        <v>8.8000000000000007</v>
      </c>
      <c r="N8" s="31">
        <v>8.6</v>
      </c>
      <c r="O8" s="51">
        <f>IFERROR(IF(J8="Man",AVERAGE(L8:N8)*K8)/I8,0)</f>
        <v>2.9333333333333331</v>
      </c>
      <c r="P8" s="52">
        <f>IFERROR(IF(J8="Machine",(AVERAGE(L8:N8)/I8)/60,0),0)</f>
        <v>0</v>
      </c>
    </row>
    <row r="9" spans="1:16" x14ac:dyDescent="0.25">
      <c r="A9" s="28" t="s">
        <v>374</v>
      </c>
      <c r="B9" s="33" t="s">
        <v>375</v>
      </c>
      <c r="C9" s="61" t="s">
        <v>376</v>
      </c>
      <c r="D9" s="171"/>
      <c r="E9" s="171"/>
      <c r="F9" s="34">
        <v>1.2</v>
      </c>
      <c r="G9" s="43" t="s">
        <v>334</v>
      </c>
      <c r="H9" s="33" t="s">
        <v>232</v>
      </c>
      <c r="I9" s="33">
        <v>3</v>
      </c>
      <c r="J9" s="29" t="str">
        <f t="shared" ref="J9:J11" si="0">IF(H9="", "", IF(LOWER(H9)="Manual", "Man", "Machine"))</f>
        <v>Machine</v>
      </c>
      <c r="K9" s="29">
        <v>0</v>
      </c>
      <c r="L9" s="35">
        <v>5</v>
      </c>
      <c r="M9" s="35">
        <v>5.2</v>
      </c>
      <c r="N9" s="35">
        <v>5.4</v>
      </c>
      <c r="O9" s="51">
        <f t="shared" ref="O9:O11" si="1">IFERROR(IF(J9="Man",AVERAGE(L9:N9)*K9)/I9,0)</f>
        <v>0</v>
      </c>
      <c r="P9" s="52">
        <f>IFERROR(IF(J9="Machine",(AVERAGE(L9:N9)/I9)/60,0),0)</f>
        <v>2.8888888888888891E-2</v>
      </c>
    </row>
    <row r="10" spans="1:16" x14ac:dyDescent="0.25">
      <c r="A10" s="28" t="s">
        <v>374</v>
      </c>
      <c r="B10" s="33" t="s">
        <v>375</v>
      </c>
      <c r="C10" s="61" t="s">
        <v>376</v>
      </c>
      <c r="D10" s="171"/>
      <c r="E10" s="171"/>
      <c r="F10" s="30">
        <v>1.3</v>
      </c>
      <c r="G10" s="43" t="s">
        <v>335</v>
      </c>
      <c r="H10" s="33" t="s">
        <v>328</v>
      </c>
      <c r="I10" s="33">
        <v>1</v>
      </c>
      <c r="J10" s="29" t="str">
        <f t="shared" si="0"/>
        <v>Man</v>
      </c>
      <c r="K10" s="29">
        <v>1</v>
      </c>
      <c r="L10" s="35">
        <v>1.9</v>
      </c>
      <c r="M10" s="35">
        <v>1.87</v>
      </c>
      <c r="N10" s="35">
        <v>2</v>
      </c>
      <c r="O10" s="51">
        <f t="shared" si="1"/>
        <v>1.9233333333333331</v>
      </c>
      <c r="P10" s="52">
        <f t="shared" ref="P10:P11" si="2">IFERROR(IF(J10="Machine",(AVERAGE(L10:N10)/I10)/60,0),0)</f>
        <v>0</v>
      </c>
    </row>
    <row r="11" spans="1:16" x14ac:dyDescent="0.25">
      <c r="A11" s="28" t="s">
        <v>374</v>
      </c>
      <c r="B11" s="33" t="s">
        <v>375</v>
      </c>
      <c r="C11" s="61" t="s">
        <v>376</v>
      </c>
      <c r="D11" s="171"/>
      <c r="E11" s="172"/>
      <c r="F11" s="34">
        <v>1.4</v>
      </c>
      <c r="G11" s="43" t="s">
        <v>336</v>
      </c>
      <c r="H11" s="33" t="s">
        <v>328</v>
      </c>
      <c r="I11" s="33">
        <v>6</v>
      </c>
      <c r="J11" s="29" t="str">
        <f t="shared" si="0"/>
        <v>Man</v>
      </c>
      <c r="K11" s="29">
        <v>1</v>
      </c>
      <c r="L11" s="35">
        <v>1.75</v>
      </c>
      <c r="M11" s="35">
        <v>1.55</v>
      </c>
      <c r="N11" s="35">
        <v>2</v>
      </c>
      <c r="O11" s="51">
        <f t="shared" si="1"/>
        <v>0.29444444444444445</v>
      </c>
      <c r="P11" s="52">
        <f t="shared" si="2"/>
        <v>0</v>
      </c>
    </row>
    <row r="12" spans="1:16" x14ac:dyDescent="0.25">
      <c r="A12" s="32"/>
      <c r="B12" s="33"/>
      <c r="C12" s="40"/>
      <c r="D12" s="170">
        <v>2</v>
      </c>
      <c r="E12" s="170"/>
      <c r="F12" s="34">
        <v>2.1</v>
      </c>
      <c r="G12" s="43"/>
      <c r="H12" s="33"/>
      <c r="I12" s="33"/>
      <c r="J12" s="29" t="str">
        <f t="shared" ref="J12:J74" si="3">IF(H12="", "", IF(LOWER(H12)="Manual", "Man", "Machine"))</f>
        <v/>
      </c>
      <c r="K12" s="29"/>
      <c r="L12" s="35"/>
      <c r="M12" s="35"/>
      <c r="N12" s="35"/>
      <c r="O12" s="51">
        <f t="shared" ref="O12:O74" si="4">IFERROR(IF(J12="Man",AVERAGE(L12:N12)*K12)/I12,0)</f>
        <v>0</v>
      </c>
      <c r="P12" s="52">
        <f t="shared" ref="P12:P75" si="5">IFERROR(IF(J12="Machine",(AVERAGE(L12:N12)/I12)/60,0),0)</f>
        <v>0</v>
      </c>
    </row>
    <row r="13" spans="1:16" x14ac:dyDescent="0.25">
      <c r="A13" s="32"/>
      <c r="B13" s="33"/>
      <c r="C13" s="61"/>
      <c r="D13" s="171"/>
      <c r="E13" s="171"/>
      <c r="F13" s="34">
        <v>2.2000000000000002</v>
      </c>
      <c r="G13" s="43"/>
      <c r="H13" s="33"/>
      <c r="I13" s="33"/>
      <c r="J13" s="29" t="str">
        <f t="shared" si="3"/>
        <v/>
      </c>
      <c r="K13" s="29"/>
      <c r="L13" s="35"/>
      <c r="M13" s="35"/>
      <c r="N13" s="35"/>
      <c r="O13" s="51">
        <f t="shared" si="4"/>
        <v>0</v>
      </c>
      <c r="P13" s="52">
        <f t="shared" si="5"/>
        <v>0</v>
      </c>
    </row>
    <row r="14" spans="1:16" x14ac:dyDescent="0.25">
      <c r="A14" s="32"/>
      <c r="B14" s="33"/>
      <c r="C14" s="61"/>
      <c r="D14" s="171"/>
      <c r="E14" s="171"/>
      <c r="F14" s="34">
        <v>2.2999999999999998</v>
      </c>
      <c r="G14" s="43"/>
      <c r="H14" s="33"/>
      <c r="I14" s="33"/>
      <c r="J14" s="29" t="str">
        <f t="shared" si="3"/>
        <v/>
      </c>
      <c r="K14" s="29"/>
      <c r="L14" s="35"/>
      <c r="M14" s="35"/>
      <c r="N14" s="35"/>
      <c r="O14" s="51">
        <f t="shared" si="4"/>
        <v>0</v>
      </c>
      <c r="P14" s="52">
        <f t="shared" si="5"/>
        <v>0</v>
      </c>
    </row>
    <row r="15" spans="1:16" x14ac:dyDescent="0.25">
      <c r="A15" s="32"/>
      <c r="B15" s="33"/>
      <c r="C15" s="61"/>
      <c r="D15" s="171"/>
      <c r="E15" s="172"/>
      <c r="F15" s="34">
        <v>2.4</v>
      </c>
      <c r="G15" s="43"/>
      <c r="H15" s="33"/>
      <c r="I15" s="33"/>
      <c r="J15" s="29" t="str">
        <f t="shared" si="3"/>
        <v/>
      </c>
      <c r="K15" s="29"/>
      <c r="L15" s="35"/>
      <c r="M15" s="35"/>
      <c r="N15" s="35"/>
      <c r="O15" s="51">
        <f t="shared" si="4"/>
        <v>0</v>
      </c>
      <c r="P15" s="52">
        <f t="shared" si="5"/>
        <v>0</v>
      </c>
    </row>
    <row r="16" spans="1:16" x14ac:dyDescent="0.25">
      <c r="A16" s="32"/>
      <c r="B16" s="33"/>
      <c r="C16" s="40"/>
      <c r="D16" s="170">
        <v>3</v>
      </c>
      <c r="E16" s="170"/>
      <c r="F16" s="34">
        <v>3.1</v>
      </c>
      <c r="G16" s="43"/>
      <c r="H16" s="33"/>
      <c r="I16" s="33"/>
      <c r="J16" s="29" t="str">
        <f t="shared" si="3"/>
        <v/>
      </c>
      <c r="K16" s="29"/>
      <c r="L16" s="35"/>
      <c r="M16" s="35"/>
      <c r="N16" s="35"/>
      <c r="O16" s="51">
        <f t="shared" si="4"/>
        <v>0</v>
      </c>
      <c r="P16" s="52">
        <f t="shared" si="5"/>
        <v>0</v>
      </c>
    </row>
    <row r="17" spans="1:16" x14ac:dyDescent="0.25">
      <c r="A17" s="32"/>
      <c r="B17" s="33"/>
      <c r="C17" s="61"/>
      <c r="D17" s="171"/>
      <c r="E17" s="171"/>
      <c r="F17" s="34">
        <v>3.2</v>
      </c>
      <c r="G17" s="43"/>
      <c r="H17" s="33"/>
      <c r="I17" s="33"/>
      <c r="J17" s="29" t="str">
        <f t="shared" si="3"/>
        <v/>
      </c>
      <c r="K17" s="29"/>
      <c r="L17" s="35"/>
      <c r="M17" s="35"/>
      <c r="N17" s="35"/>
      <c r="O17" s="51">
        <f t="shared" si="4"/>
        <v>0</v>
      </c>
      <c r="P17" s="52">
        <f t="shared" si="5"/>
        <v>0</v>
      </c>
    </row>
    <row r="18" spans="1:16" x14ac:dyDescent="0.25">
      <c r="A18" s="32"/>
      <c r="B18" s="33"/>
      <c r="C18" s="61"/>
      <c r="D18" s="171"/>
      <c r="E18" s="171"/>
      <c r="F18" s="34">
        <v>3.3</v>
      </c>
      <c r="G18" s="43"/>
      <c r="H18" s="33"/>
      <c r="I18" s="33"/>
      <c r="J18" s="29" t="str">
        <f t="shared" si="3"/>
        <v/>
      </c>
      <c r="K18" s="29"/>
      <c r="L18" s="35"/>
      <c r="M18" s="35"/>
      <c r="N18" s="35"/>
      <c r="O18" s="51">
        <f t="shared" si="4"/>
        <v>0</v>
      </c>
      <c r="P18" s="52">
        <f t="shared" si="5"/>
        <v>0</v>
      </c>
    </row>
    <row r="19" spans="1:16" x14ac:dyDescent="0.25">
      <c r="A19" s="32"/>
      <c r="B19" s="33"/>
      <c r="C19" s="61"/>
      <c r="D19" s="171"/>
      <c r="E19" s="172"/>
      <c r="F19" s="34">
        <v>3.4</v>
      </c>
      <c r="G19" s="43"/>
      <c r="H19" s="33"/>
      <c r="I19" s="33"/>
      <c r="J19" s="29" t="str">
        <f t="shared" si="3"/>
        <v/>
      </c>
      <c r="K19" s="29"/>
      <c r="L19" s="35"/>
      <c r="M19" s="35"/>
      <c r="N19" s="35"/>
      <c r="O19" s="51">
        <f t="shared" si="4"/>
        <v>0</v>
      </c>
      <c r="P19" s="52">
        <f t="shared" si="5"/>
        <v>0</v>
      </c>
    </row>
    <row r="20" spans="1:16" x14ac:dyDescent="0.25">
      <c r="A20" s="32"/>
      <c r="B20" s="33"/>
      <c r="C20" s="40"/>
      <c r="D20" s="170">
        <v>4</v>
      </c>
      <c r="E20" s="170"/>
      <c r="F20" s="34">
        <v>4.0999999999999996</v>
      </c>
      <c r="G20" s="43"/>
      <c r="H20" s="33"/>
      <c r="I20" s="33"/>
      <c r="J20" s="29" t="str">
        <f t="shared" si="3"/>
        <v/>
      </c>
      <c r="K20" s="29"/>
      <c r="L20" s="35"/>
      <c r="M20" s="35"/>
      <c r="N20" s="35"/>
      <c r="O20" s="51">
        <f t="shared" si="4"/>
        <v>0</v>
      </c>
      <c r="P20" s="52">
        <f t="shared" si="5"/>
        <v>0</v>
      </c>
    </row>
    <row r="21" spans="1:16" x14ac:dyDescent="0.25">
      <c r="A21" s="32"/>
      <c r="B21" s="33"/>
      <c r="C21" s="61"/>
      <c r="D21" s="171"/>
      <c r="E21" s="171"/>
      <c r="F21" s="34">
        <v>4.2</v>
      </c>
      <c r="G21" s="43"/>
      <c r="H21" s="33"/>
      <c r="I21" s="33"/>
      <c r="J21" s="29" t="str">
        <f t="shared" si="3"/>
        <v/>
      </c>
      <c r="K21" s="29"/>
      <c r="L21" s="35"/>
      <c r="M21" s="35"/>
      <c r="N21" s="35"/>
      <c r="O21" s="51">
        <f t="shared" si="4"/>
        <v>0</v>
      </c>
      <c r="P21" s="52">
        <f t="shared" si="5"/>
        <v>0</v>
      </c>
    </row>
    <row r="22" spans="1:16" x14ac:dyDescent="0.25">
      <c r="A22" s="32"/>
      <c r="B22" s="33"/>
      <c r="C22" s="61"/>
      <c r="D22" s="171"/>
      <c r="E22" s="171"/>
      <c r="F22" s="34">
        <v>4.3</v>
      </c>
      <c r="G22" s="43"/>
      <c r="H22" s="33"/>
      <c r="I22" s="33"/>
      <c r="J22" s="29" t="str">
        <f t="shared" si="3"/>
        <v/>
      </c>
      <c r="K22" s="29"/>
      <c r="L22" s="35"/>
      <c r="M22" s="35"/>
      <c r="N22" s="35"/>
      <c r="O22" s="51">
        <f t="shared" si="4"/>
        <v>0</v>
      </c>
      <c r="P22" s="52">
        <f t="shared" si="5"/>
        <v>0</v>
      </c>
    </row>
    <row r="23" spans="1:16" x14ac:dyDescent="0.25">
      <c r="A23" s="32"/>
      <c r="B23" s="33"/>
      <c r="C23" s="61"/>
      <c r="D23" s="171"/>
      <c r="E23" s="172"/>
      <c r="F23" s="34">
        <v>4.4000000000000004</v>
      </c>
      <c r="G23" s="43"/>
      <c r="H23" s="33"/>
      <c r="I23" s="33"/>
      <c r="J23" s="29" t="str">
        <f t="shared" si="3"/>
        <v/>
      </c>
      <c r="K23" s="29"/>
      <c r="L23" s="35"/>
      <c r="M23" s="35"/>
      <c r="N23" s="35"/>
      <c r="O23" s="51">
        <f t="shared" si="4"/>
        <v>0</v>
      </c>
      <c r="P23" s="52">
        <f t="shared" si="5"/>
        <v>0</v>
      </c>
    </row>
    <row r="24" spans="1:16" x14ac:dyDescent="0.25">
      <c r="A24" s="32"/>
      <c r="B24" s="33"/>
      <c r="C24" s="40"/>
      <c r="D24" s="170">
        <v>5</v>
      </c>
      <c r="E24" s="170"/>
      <c r="F24" s="34">
        <v>5.0999999999999996</v>
      </c>
      <c r="G24" s="43"/>
      <c r="H24" s="33"/>
      <c r="I24" s="33"/>
      <c r="J24" s="29" t="str">
        <f t="shared" si="3"/>
        <v/>
      </c>
      <c r="K24" s="29"/>
      <c r="L24" s="35"/>
      <c r="M24" s="35"/>
      <c r="N24" s="35"/>
      <c r="O24" s="51">
        <f t="shared" si="4"/>
        <v>0</v>
      </c>
      <c r="P24" s="52">
        <f t="shared" si="5"/>
        <v>0</v>
      </c>
    </row>
    <row r="25" spans="1:16" x14ac:dyDescent="0.25">
      <c r="A25" s="32"/>
      <c r="B25" s="33"/>
      <c r="C25" s="61"/>
      <c r="D25" s="171"/>
      <c r="E25" s="171"/>
      <c r="F25" s="34">
        <v>5.2</v>
      </c>
      <c r="G25" s="43"/>
      <c r="H25" s="33"/>
      <c r="I25" s="33"/>
      <c r="J25" s="29" t="str">
        <f t="shared" si="3"/>
        <v/>
      </c>
      <c r="K25" s="29"/>
      <c r="L25" s="35"/>
      <c r="M25" s="35"/>
      <c r="N25" s="35"/>
      <c r="O25" s="51">
        <f t="shared" si="4"/>
        <v>0</v>
      </c>
      <c r="P25" s="52">
        <f t="shared" si="5"/>
        <v>0</v>
      </c>
    </row>
    <row r="26" spans="1:16" x14ac:dyDescent="0.25">
      <c r="A26" s="32"/>
      <c r="B26" s="33"/>
      <c r="C26" s="61"/>
      <c r="D26" s="171"/>
      <c r="E26" s="171"/>
      <c r="F26" s="34">
        <v>5.3</v>
      </c>
      <c r="G26" s="43"/>
      <c r="H26" s="33"/>
      <c r="I26" s="33"/>
      <c r="J26" s="29" t="str">
        <f t="shared" si="3"/>
        <v/>
      </c>
      <c r="K26" s="29"/>
      <c r="L26" s="35"/>
      <c r="M26" s="35"/>
      <c r="N26" s="35"/>
      <c r="O26" s="51">
        <f t="shared" si="4"/>
        <v>0</v>
      </c>
      <c r="P26" s="52">
        <f t="shared" si="5"/>
        <v>0</v>
      </c>
    </row>
    <row r="27" spans="1:16" x14ac:dyDescent="0.25">
      <c r="A27" s="32"/>
      <c r="B27" s="33"/>
      <c r="C27" s="61"/>
      <c r="D27" s="171"/>
      <c r="E27" s="172"/>
      <c r="F27" s="34">
        <v>5.4</v>
      </c>
      <c r="G27" s="43"/>
      <c r="H27" s="33"/>
      <c r="I27" s="33"/>
      <c r="J27" s="29" t="str">
        <f t="shared" si="3"/>
        <v/>
      </c>
      <c r="K27" s="29"/>
      <c r="L27" s="35"/>
      <c r="M27" s="35"/>
      <c r="N27" s="35"/>
      <c r="O27" s="51">
        <f t="shared" si="4"/>
        <v>0</v>
      </c>
      <c r="P27" s="52">
        <f t="shared" si="5"/>
        <v>0</v>
      </c>
    </row>
    <row r="28" spans="1:16" x14ac:dyDescent="0.25">
      <c r="A28" s="32"/>
      <c r="B28" s="33"/>
      <c r="C28" s="40"/>
      <c r="D28" s="170">
        <v>6</v>
      </c>
      <c r="E28" s="136"/>
      <c r="F28" s="34">
        <v>6.1</v>
      </c>
      <c r="G28" s="43"/>
      <c r="H28" s="33"/>
      <c r="I28" s="33"/>
      <c r="J28" s="29" t="str">
        <f t="shared" si="3"/>
        <v/>
      </c>
      <c r="K28" s="29"/>
      <c r="L28" s="35"/>
      <c r="M28" s="35"/>
      <c r="N28" s="35"/>
      <c r="O28" s="51">
        <f t="shared" si="4"/>
        <v>0</v>
      </c>
      <c r="P28" s="52">
        <f t="shared" si="5"/>
        <v>0</v>
      </c>
    </row>
    <row r="29" spans="1:16" x14ac:dyDescent="0.25">
      <c r="A29" s="32"/>
      <c r="B29" s="33"/>
      <c r="C29" s="61"/>
      <c r="D29" s="171"/>
      <c r="E29" s="137"/>
      <c r="F29" s="34">
        <v>6.2</v>
      </c>
      <c r="G29" s="43"/>
      <c r="H29" s="33"/>
      <c r="I29" s="33"/>
      <c r="J29" s="29" t="str">
        <f t="shared" si="3"/>
        <v/>
      </c>
      <c r="K29" s="29"/>
      <c r="L29" s="35"/>
      <c r="M29" s="35"/>
      <c r="N29" s="35"/>
      <c r="O29" s="51">
        <f t="shared" si="4"/>
        <v>0</v>
      </c>
      <c r="P29" s="52">
        <f t="shared" si="5"/>
        <v>0</v>
      </c>
    </row>
    <row r="30" spans="1:16" x14ac:dyDescent="0.25">
      <c r="A30" s="32"/>
      <c r="B30" s="33"/>
      <c r="C30" s="61"/>
      <c r="D30" s="171"/>
      <c r="E30" s="137"/>
      <c r="F30" s="34">
        <v>6.3</v>
      </c>
      <c r="G30" s="43"/>
      <c r="H30" s="33"/>
      <c r="I30" s="33"/>
      <c r="J30" s="29" t="str">
        <f t="shared" si="3"/>
        <v/>
      </c>
      <c r="K30" s="29"/>
      <c r="L30" s="35"/>
      <c r="M30" s="35"/>
      <c r="N30" s="35"/>
      <c r="O30" s="51">
        <f t="shared" si="4"/>
        <v>0</v>
      </c>
      <c r="P30" s="52">
        <f t="shared" si="5"/>
        <v>0</v>
      </c>
    </row>
    <row r="31" spans="1:16" x14ac:dyDescent="0.25">
      <c r="A31" s="32"/>
      <c r="B31" s="33"/>
      <c r="C31" s="61"/>
      <c r="D31" s="171"/>
      <c r="E31" s="138"/>
      <c r="F31" s="34">
        <v>6.4</v>
      </c>
      <c r="G31" s="43"/>
      <c r="H31" s="33"/>
      <c r="I31" s="33"/>
      <c r="J31" s="29" t="str">
        <f t="shared" si="3"/>
        <v/>
      </c>
      <c r="K31" s="29"/>
      <c r="L31" s="35"/>
      <c r="M31" s="35"/>
      <c r="N31" s="35"/>
      <c r="O31" s="51">
        <f t="shared" si="4"/>
        <v>0</v>
      </c>
      <c r="P31" s="52">
        <f t="shared" si="5"/>
        <v>0</v>
      </c>
    </row>
    <row r="32" spans="1:16" x14ac:dyDescent="0.25">
      <c r="A32" s="32"/>
      <c r="B32" s="33"/>
      <c r="C32" s="40"/>
      <c r="D32" s="170">
        <v>7</v>
      </c>
      <c r="E32" s="170"/>
      <c r="F32" s="34">
        <v>7.0999999999999899</v>
      </c>
      <c r="G32" s="43"/>
      <c r="H32" s="33"/>
      <c r="I32" s="33"/>
      <c r="J32" s="29" t="str">
        <f t="shared" si="3"/>
        <v/>
      </c>
      <c r="K32" s="29"/>
      <c r="L32" s="35"/>
      <c r="M32" s="35"/>
      <c r="N32" s="35"/>
      <c r="O32" s="51">
        <f t="shared" si="4"/>
        <v>0</v>
      </c>
      <c r="P32" s="52">
        <f t="shared" si="5"/>
        <v>0</v>
      </c>
    </row>
    <row r="33" spans="1:16" x14ac:dyDescent="0.25">
      <c r="A33" s="32"/>
      <c r="B33" s="33"/>
      <c r="C33" s="61"/>
      <c r="D33" s="171"/>
      <c r="E33" s="171"/>
      <c r="F33" s="34">
        <v>7.1999999999999904</v>
      </c>
      <c r="G33" s="43"/>
      <c r="H33" s="33"/>
      <c r="I33" s="33"/>
      <c r="J33" s="29" t="str">
        <f t="shared" si="3"/>
        <v/>
      </c>
      <c r="K33" s="29"/>
      <c r="L33" s="35"/>
      <c r="M33" s="35"/>
      <c r="N33" s="35"/>
      <c r="O33" s="51">
        <f t="shared" si="4"/>
        <v>0</v>
      </c>
      <c r="P33" s="52">
        <f t="shared" si="5"/>
        <v>0</v>
      </c>
    </row>
    <row r="34" spans="1:16" x14ac:dyDescent="0.25">
      <c r="A34" s="32"/>
      <c r="B34" s="33"/>
      <c r="C34" s="61"/>
      <c r="D34" s="171"/>
      <c r="E34" s="171"/>
      <c r="F34" s="34">
        <v>7.2999999999999901</v>
      </c>
      <c r="G34" s="43"/>
      <c r="H34" s="33"/>
      <c r="I34" s="33"/>
      <c r="J34" s="29" t="str">
        <f t="shared" si="3"/>
        <v/>
      </c>
      <c r="K34" s="29"/>
      <c r="L34" s="35"/>
      <c r="M34" s="35"/>
      <c r="N34" s="35"/>
      <c r="O34" s="51">
        <f t="shared" si="4"/>
        <v>0</v>
      </c>
      <c r="P34" s="52">
        <f t="shared" si="5"/>
        <v>0</v>
      </c>
    </row>
    <row r="35" spans="1:16" x14ac:dyDescent="0.25">
      <c r="A35" s="32"/>
      <c r="B35" s="33"/>
      <c r="C35" s="61"/>
      <c r="D35" s="171"/>
      <c r="E35" s="172"/>
      <c r="F35" s="34">
        <v>7.3999999999999897</v>
      </c>
      <c r="G35" s="43"/>
      <c r="H35" s="33"/>
      <c r="I35" s="33"/>
      <c r="J35" s="29" t="str">
        <f t="shared" si="3"/>
        <v/>
      </c>
      <c r="K35" s="29"/>
      <c r="L35" s="35"/>
      <c r="M35" s="35"/>
      <c r="N35" s="35"/>
      <c r="O35" s="51">
        <f t="shared" si="4"/>
        <v>0</v>
      </c>
      <c r="P35" s="52">
        <f t="shared" si="5"/>
        <v>0</v>
      </c>
    </row>
    <row r="36" spans="1:16" x14ac:dyDescent="0.25">
      <c r="A36" s="32"/>
      <c r="B36" s="33"/>
      <c r="C36" s="40"/>
      <c r="D36" s="170">
        <v>8</v>
      </c>
      <c r="E36" s="170"/>
      <c r="F36" s="34">
        <v>8.0999999999999908</v>
      </c>
      <c r="G36" s="43"/>
      <c r="H36" s="33"/>
      <c r="I36" s="33"/>
      <c r="J36" s="29" t="str">
        <f t="shared" si="3"/>
        <v/>
      </c>
      <c r="K36" s="29"/>
      <c r="L36" s="35"/>
      <c r="M36" s="35"/>
      <c r="N36" s="35"/>
      <c r="O36" s="51">
        <f t="shared" si="4"/>
        <v>0</v>
      </c>
      <c r="P36" s="52">
        <f t="shared" si="5"/>
        <v>0</v>
      </c>
    </row>
    <row r="37" spans="1:16" x14ac:dyDescent="0.25">
      <c r="A37" s="32"/>
      <c r="B37" s="33"/>
      <c r="C37" s="61"/>
      <c r="D37" s="171"/>
      <c r="E37" s="171"/>
      <c r="F37" s="34">
        <v>8.1999999999999904</v>
      </c>
      <c r="G37" s="43"/>
      <c r="H37" s="33"/>
      <c r="I37" s="33"/>
      <c r="J37" s="29" t="str">
        <f t="shared" si="3"/>
        <v/>
      </c>
      <c r="K37" s="29"/>
      <c r="L37" s="35"/>
      <c r="M37" s="35"/>
      <c r="N37" s="35"/>
      <c r="O37" s="51">
        <f t="shared" si="4"/>
        <v>0</v>
      </c>
      <c r="P37" s="52">
        <f t="shared" si="5"/>
        <v>0</v>
      </c>
    </row>
    <row r="38" spans="1:16" x14ac:dyDescent="0.25">
      <c r="A38" s="32"/>
      <c r="B38" s="33"/>
      <c r="C38" s="61"/>
      <c r="D38" s="171"/>
      <c r="E38" s="171"/>
      <c r="F38" s="34">
        <v>8.2999999999999901</v>
      </c>
      <c r="G38" s="43"/>
      <c r="H38" s="33"/>
      <c r="I38" s="33"/>
      <c r="J38" s="29" t="str">
        <f t="shared" si="3"/>
        <v/>
      </c>
      <c r="K38" s="29"/>
      <c r="L38" s="35"/>
      <c r="M38" s="35"/>
      <c r="N38" s="35"/>
      <c r="O38" s="51">
        <f t="shared" si="4"/>
        <v>0</v>
      </c>
      <c r="P38" s="52">
        <f t="shared" si="5"/>
        <v>0</v>
      </c>
    </row>
    <row r="39" spans="1:16" x14ac:dyDescent="0.25">
      <c r="A39" s="32"/>
      <c r="B39" s="33"/>
      <c r="C39" s="61"/>
      <c r="D39" s="171"/>
      <c r="E39" s="172"/>
      <c r="F39" s="34">
        <v>8.3999999999999897</v>
      </c>
      <c r="G39" s="43"/>
      <c r="H39" s="33"/>
      <c r="I39" s="33"/>
      <c r="J39" s="29" t="str">
        <f t="shared" si="3"/>
        <v/>
      </c>
      <c r="K39" s="29"/>
      <c r="L39" s="35"/>
      <c r="M39" s="35"/>
      <c r="N39" s="35"/>
      <c r="O39" s="51">
        <f t="shared" si="4"/>
        <v>0</v>
      </c>
      <c r="P39" s="52">
        <f t="shared" si="5"/>
        <v>0</v>
      </c>
    </row>
    <row r="40" spans="1:16" x14ac:dyDescent="0.25">
      <c r="A40" s="32"/>
      <c r="B40" s="33"/>
      <c r="C40" s="40"/>
      <c r="D40" s="170">
        <v>9</v>
      </c>
      <c r="E40" s="170"/>
      <c r="F40" s="34">
        <v>9.0999999999999908</v>
      </c>
      <c r="G40" s="43"/>
      <c r="H40" s="33"/>
      <c r="I40" s="33"/>
      <c r="J40" s="29" t="str">
        <f t="shared" si="3"/>
        <v/>
      </c>
      <c r="K40" s="29"/>
      <c r="L40" s="35"/>
      <c r="M40" s="35"/>
      <c r="N40" s="35"/>
      <c r="O40" s="51">
        <f t="shared" si="4"/>
        <v>0</v>
      </c>
      <c r="P40" s="52">
        <f t="shared" si="5"/>
        <v>0</v>
      </c>
    </row>
    <row r="41" spans="1:16" x14ac:dyDescent="0.25">
      <c r="A41" s="32"/>
      <c r="B41" s="33"/>
      <c r="C41" s="61"/>
      <c r="D41" s="171"/>
      <c r="E41" s="171"/>
      <c r="F41" s="34">
        <v>9.1999999999999904</v>
      </c>
      <c r="G41" s="43"/>
      <c r="H41" s="33"/>
      <c r="I41" s="33"/>
      <c r="J41" s="29" t="str">
        <f t="shared" si="3"/>
        <v/>
      </c>
      <c r="K41" s="29"/>
      <c r="L41" s="35"/>
      <c r="M41" s="35"/>
      <c r="N41" s="35"/>
      <c r="O41" s="51">
        <f t="shared" si="4"/>
        <v>0</v>
      </c>
      <c r="P41" s="52">
        <f t="shared" si="5"/>
        <v>0</v>
      </c>
    </row>
    <row r="42" spans="1:16" x14ac:dyDescent="0.25">
      <c r="A42" s="32"/>
      <c r="B42" s="33"/>
      <c r="C42" s="61"/>
      <c r="D42" s="171"/>
      <c r="E42" s="171"/>
      <c r="F42" s="34">
        <v>9.2999999999999794</v>
      </c>
      <c r="G42" s="43"/>
      <c r="H42" s="33"/>
      <c r="I42" s="33"/>
      <c r="J42" s="29" t="str">
        <f t="shared" si="3"/>
        <v/>
      </c>
      <c r="K42" s="29"/>
      <c r="L42" s="35"/>
      <c r="M42" s="35"/>
      <c r="N42" s="35"/>
      <c r="O42" s="51">
        <f t="shared" si="4"/>
        <v>0</v>
      </c>
      <c r="P42" s="52">
        <f t="shared" si="5"/>
        <v>0</v>
      </c>
    </row>
    <row r="43" spans="1:16" x14ac:dyDescent="0.25">
      <c r="A43" s="32"/>
      <c r="B43" s="33"/>
      <c r="C43" s="61"/>
      <c r="D43" s="171"/>
      <c r="E43" s="172"/>
      <c r="F43" s="34">
        <v>9.3999999999999808</v>
      </c>
      <c r="G43" s="43"/>
      <c r="H43" s="33"/>
      <c r="I43" s="33"/>
      <c r="J43" s="29" t="str">
        <f t="shared" si="3"/>
        <v/>
      </c>
      <c r="K43" s="29"/>
      <c r="L43" s="35"/>
      <c r="M43" s="35"/>
      <c r="N43" s="35"/>
      <c r="O43" s="51">
        <f t="shared" si="4"/>
        <v>0</v>
      </c>
      <c r="P43" s="52">
        <f t="shared" si="5"/>
        <v>0</v>
      </c>
    </row>
    <row r="44" spans="1:16" x14ac:dyDescent="0.25">
      <c r="A44" s="32"/>
      <c r="B44" s="33"/>
      <c r="C44" s="40"/>
      <c r="D44" s="170">
        <v>10</v>
      </c>
      <c r="E44" s="170"/>
      <c r="F44" s="34">
        <v>10.1</v>
      </c>
      <c r="G44" s="43"/>
      <c r="H44" s="33"/>
      <c r="I44" s="33"/>
      <c r="J44" s="29" t="str">
        <f t="shared" si="3"/>
        <v/>
      </c>
      <c r="K44" s="29"/>
      <c r="L44" s="35"/>
      <c r="M44" s="35"/>
      <c r="N44" s="35"/>
      <c r="O44" s="51">
        <f t="shared" si="4"/>
        <v>0</v>
      </c>
      <c r="P44" s="52">
        <f t="shared" si="5"/>
        <v>0</v>
      </c>
    </row>
    <row r="45" spans="1:16" x14ac:dyDescent="0.25">
      <c r="A45" s="32"/>
      <c r="B45" s="33"/>
      <c r="C45" s="61"/>
      <c r="D45" s="171"/>
      <c r="E45" s="171"/>
      <c r="F45" s="34">
        <v>10.199999999999999</v>
      </c>
      <c r="G45" s="43"/>
      <c r="H45" s="33"/>
      <c r="I45" s="33"/>
      <c r="J45" s="29" t="str">
        <f t="shared" si="3"/>
        <v/>
      </c>
      <c r="K45" s="29"/>
      <c r="L45" s="35"/>
      <c r="M45" s="35"/>
      <c r="N45" s="35"/>
      <c r="O45" s="51">
        <f t="shared" si="4"/>
        <v>0</v>
      </c>
      <c r="P45" s="52">
        <f t="shared" si="5"/>
        <v>0</v>
      </c>
    </row>
    <row r="46" spans="1:16" x14ac:dyDescent="0.25">
      <c r="A46" s="32"/>
      <c r="B46" s="33"/>
      <c r="C46" s="61"/>
      <c r="D46" s="171"/>
      <c r="E46" s="171"/>
      <c r="F46" s="34">
        <v>10.3</v>
      </c>
      <c r="G46" s="43"/>
      <c r="H46" s="33"/>
      <c r="I46" s="33"/>
      <c r="J46" s="29" t="str">
        <f t="shared" si="3"/>
        <v/>
      </c>
      <c r="K46" s="29"/>
      <c r="L46" s="35"/>
      <c r="M46" s="35"/>
      <c r="N46" s="35"/>
      <c r="O46" s="51">
        <f t="shared" si="4"/>
        <v>0</v>
      </c>
      <c r="P46" s="52">
        <f t="shared" si="5"/>
        <v>0</v>
      </c>
    </row>
    <row r="47" spans="1:16" x14ac:dyDescent="0.25">
      <c r="A47" s="32"/>
      <c r="B47" s="33"/>
      <c r="C47" s="61"/>
      <c r="D47" s="171"/>
      <c r="E47" s="172"/>
      <c r="F47" s="34">
        <v>10.4</v>
      </c>
      <c r="G47" s="43"/>
      <c r="H47" s="33"/>
      <c r="I47" s="33"/>
      <c r="J47" s="29" t="str">
        <f t="shared" si="3"/>
        <v/>
      </c>
      <c r="K47" s="29"/>
      <c r="L47" s="35"/>
      <c r="M47" s="35"/>
      <c r="N47" s="35"/>
      <c r="O47" s="51">
        <f t="shared" si="4"/>
        <v>0</v>
      </c>
      <c r="P47" s="52">
        <f t="shared" si="5"/>
        <v>0</v>
      </c>
    </row>
    <row r="48" spans="1:16" x14ac:dyDescent="0.25">
      <c r="A48" s="32"/>
      <c r="B48" s="33"/>
      <c r="C48" s="40"/>
      <c r="D48" s="170">
        <v>11</v>
      </c>
      <c r="E48" s="170"/>
      <c r="F48" s="34">
        <v>11.1</v>
      </c>
      <c r="G48" s="43"/>
      <c r="H48" s="33"/>
      <c r="I48" s="33"/>
      <c r="J48" s="29" t="str">
        <f t="shared" si="3"/>
        <v/>
      </c>
      <c r="K48" s="29"/>
      <c r="L48" s="35"/>
      <c r="M48" s="35"/>
      <c r="N48" s="35"/>
      <c r="O48" s="51">
        <f t="shared" si="4"/>
        <v>0</v>
      </c>
      <c r="P48" s="52">
        <f t="shared" si="5"/>
        <v>0</v>
      </c>
    </row>
    <row r="49" spans="1:16" x14ac:dyDescent="0.25">
      <c r="A49" s="32"/>
      <c r="B49" s="33"/>
      <c r="C49" s="61"/>
      <c r="D49" s="171"/>
      <c r="E49" s="171"/>
      <c r="F49" s="34">
        <v>11.2</v>
      </c>
      <c r="G49" s="43"/>
      <c r="H49" s="33"/>
      <c r="I49" s="33"/>
      <c r="J49" s="29" t="str">
        <f t="shared" si="3"/>
        <v/>
      </c>
      <c r="K49" s="29"/>
      <c r="L49" s="35"/>
      <c r="M49" s="35"/>
      <c r="N49" s="35"/>
      <c r="O49" s="51">
        <f t="shared" si="4"/>
        <v>0</v>
      </c>
      <c r="P49" s="52">
        <f t="shared" si="5"/>
        <v>0</v>
      </c>
    </row>
    <row r="50" spans="1:16" x14ac:dyDescent="0.25">
      <c r="A50" s="32"/>
      <c r="B50" s="33"/>
      <c r="C50" s="61"/>
      <c r="D50" s="171"/>
      <c r="E50" s="171"/>
      <c r="F50" s="34">
        <v>11.3</v>
      </c>
      <c r="G50" s="43"/>
      <c r="H50" s="33"/>
      <c r="I50" s="33"/>
      <c r="J50" s="29" t="str">
        <f t="shared" si="3"/>
        <v/>
      </c>
      <c r="K50" s="29"/>
      <c r="L50" s="35"/>
      <c r="M50" s="35"/>
      <c r="N50" s="35"/>
      <c r="O50" s="51">
        <f t="shared" si="4"/>
        <v>0</v>
      </c>
      <c r="P50" s="52">
        <f t="shared" si="5"/>
        <v>0</v>
      </c>
    </row>
    <row r="51" spans="1:16" x14ac:dyDescent="0.25">
      <c r="A51" s="32"/>
      <c r="B51" s="33"/>
      <c r="C51" s="61"/>
      <c r="D51" s="171"/>
      <c r="E51" s="172"/>
      <c r="F51" s="34">
        <v>11.4</v>
      </c>
      <c r="G51" s="43"/>
      <c r="H51" s="33"/>
      <c r="I51" s="33"/>
      <c r="J51" s="29" t="str">
        <f t="shared" si="3"/>
        <v/>
      </c>
      <c r="K51" s="29"/>
      <c r="L51" s="35"/>
      <c r="M51" s="35"/>
      <c r="N51" s="35"/>
      <c r="O51" s="51">
        <f t="shared" si="4"/>
        <v>0</v>
      </c>
      <c r="P51" s="52">
        <f t="shared" si="5"/>
        <v>0</v>
      </c>
    </row>
    <row r="52" spans="1:16" x14ac:dyDescent="0.25">
      <c r="A52" s="32"/>
      <c r="B52" s="33"/>
      <c r="C52" s="40"/>
      <c r="D52" s="170">
        <v>12</v>
      </c>
      <c r="E52" s="170"/>
      <c r="F52" s="34">
        <v>12.1</v>
      </c>
      <c r="G52" s="43"/>
      <c r="H52" s="33"/>
      <c r="I52" s="33"/>
      <c r="J52" s="29" t="str">
        <f t="shared" si="3"/>
        <v/>
      </c>
      <c r="K52" s="29"/>
      <c r="L52" s="35"/>
      <c r="M52" s="35"/>
      <c r="N52" s="35"/>
      <c r="O52" s="51">
        <f t="shared" si="4"/>
        <v>0</v>
      </c>
      <c r="P52" s="52">
        <f t="shared" si="5"/>
        <v>0</v>
      </c>
    </row>
    <row r="53" spans="1:16" x14ac:dyDescent="0.25">
      <c r="A53" s="32"/>
      <c r="B53" s="33"/>
      <c r="C53" s="61"/>
      <c r="D53" s="171"/>
      <c r="E53" s="171"/>
      <c r="F53" s="34">
        <v>12.2</v>
      </c>
      <c r="G53" s="43"/>
      <c r="H53" s="33"/>
      <c r="I53" s="33"/>
      <c r="J53" s="29" t="str">
        <f t="shared" si="3"/>
        <v/>
      </c>
      <c r="K53" s="29"/>
      <c r="L53" s="35"/>
      <c r="M53" s="35"/>
      <c r="N53" s="35"/>
      <c r="O53" s="51">
        <f t="shared" si="4"/>
        <v>0</v>
      </c>
      <c r="P53" s="52">
        <f t="shared" si="5"/>
        <v>0</v>
      </c>
    </row>
    <row r="54" spans="1:16" x14ac:dyDescent="0.25">
      <c r="A54" s="32"/>
      <c r="B54" s="33"/>
      <c r="C54" s="61"/>
      <c r="D54" s="171"/>
      <c r="E54" s="171"/>
      <c r="F54" s="34">
        <v>12.3</v>
      </c>
      <c r="G54" s="43"/>
      <c r="H54" s="33"/>
      <c r="I54" s="33"/>
      <c r="J54" s="29" t="str">
        <f t="shared" si="3"/>
        <v/>
      </c>
      <c r="K54" s="29"/>
      <c r="L54" s="35"/>
      <c r="M54" s="35"/>
      <c r="N54" s="35"/>
      <c r="O54" s="51">
        <f t="shared" si="4"/>
        <v>0</v>
      </c>
      <c r="P54" s="52">
        <f t="shared" si="5"/>
        <v>0</v>
      </c>
    </row>
    <row r="55" spans="1:16" x14ac:dyDescent="0.25">
      <c r="A55" s="32"/>
      <c r="B55" s="33"/>
      <c r="C55" s="61"/>
      <c r="D55" s="171"/>
      <c r="E55" s="172"/>
      <c r="F55" s="34">
        <v>12.4</v>
      </c>
      <c r="G55" s="43"/>
      <c r="H55" s="33"/>
      <c r="I55" s="33"/>
      <c r="J55" s="29" t="str">
        <f t="shared" si="3"/>
        <v/>
      </c>
      <c r="K55" s="29"/>
      <c r="L55" s="35"/>
      <c r="M55" s="35"/>
      <c r="N55" s="35"/>
      <c r="O55" s="51">
        <f t="shared" si="4"/>
        <v>0</v>
      </c>
      <c r="P55" s="52">
        <f t="shared" si="5"/>
        <v>0</v>
      </c>
    </row>
    <row r="56" spans="1:16" x14ac:dyDescent="0.25">
      <c r="A56" s="32"/>
      <c r="B56" s="33"/>
      <c r="C56" s="40"/>
      <c r="D56" s="170">
        <v>13</v>
      </c>
      <c r="E56" s="170"/>
      <c r="F56" s="34">
        <v>13.1</v>
      </c>
      <c r="G56" s="43"/>
      <c r="H56" s="33"/>
      <c r="I56" s="33"/>
      <c r="J56" s="29" t="str">
        <f t="shared" si="3"/>
        <v/>
      </c>
      <c r="K56" s="29"/>
      <c r="L56" s="35"/>
      <c r="M56" s="35"/>
      <c r="N56" s="35"/>
      <c r="O56" s="51">
        <f t="shared" si="4"/>
        <v>0</v>
      </c>
      <c r="P56" s="52">
        <f t="shared" si="5"/>
        <v>0</v>
      </c>
    </row>
    <row r="57" spans="1:16" x14ac:dyDescent="0.25">
      <c r="A57" s="32"/>
      <c r="B57" s="33"/>
      <c r="C57" s="61"/>
      <c r="D57" s="171"/>
      <c r="E57" s="171"/>
      <c r="F57" s="34">
        <v>13.2</v>
      </c>
      <c r="G57" s="43"/>
      <c r="H57" s="33"/>
      <c r="I57" s="33"/>
      <c r="J57" s="29" t="str">
        <f t="shared" si="3"/>
        <v/>
      </c>
      <c r="K57" s="29"/>
      <c r="L57" s="35"/>
      <c r="M57" s="35"/>
      <c r="N57" s="35"/>
      <c r="O57" s="51">
        <f t="shared" si="4"/>
        <v>0</v>
      </c>
      <c r="P57" s="52">
        <f t="shared" si="5"/>
        <v>0</v>
      </c>
    </row>
    <row r="58" spans="1:16" x14ac:dyDescent="0.25">
      <c r="A58" s="32"/>
      <c r="B58" s="33"/>
      <c r="C58" s="61"/>
      <c r="D58" s="171"/>
      <c r="E58" s="171"/>
      <c r="F58" s="34">
        <v>13.3</v>
      </c>
      <c r="G58" s="43"/>
      <c r="H58" s="33"/>
      <c r="I58" s="33"/>
      <c r="J58" s="29" t="str">
        <f t="shared" si="3"/>
        <v/>
      </c>
      <c r="K58" s="29"/>
      <c r="L58" s="35"/>
      <c r="M58" s="35"/>
      <c r="N58" s="35"/>
      <c r="O58" s="51">
        <f t="shared" si="4"/>
        <v>0</v>
      </c>
      <c r="P58" s="52">
        <f t="shared" si="5"/>
        <v>0</v>
      </c>
    </row>
    <row r="59" spans="1:16" x14ac:dyDescent="0.25">
      <c r="A59" s="32"/>
      <c r="B59" s="33"/>
      <c r="C59" s="61"/>
      <c r="D59" s="171"/>
      <c r="E59" s="172"/>
      <c r="F59" s="34">
        <v>13.4</v>
      </c>
      <c r="G59" s="43"/>
      <c r="H59" s="33"/>
      <c r="I59" s="33"/>
      <c r="J59" s="29" t="str">
        <f t="shared" si="3"/>
        <v/>
      </c>
      <c r="K59" s="29"/>
      <c r="L59" s="35"/>
      <c r="M59" s="35"/>
      <c r="N59" s="35"/>
      <c r="O59" s="51">
        <f t="shared" si="4"/>
        <v>0</v>
      </c>
      <c r="P59" s="52">
        <f t="shared" si="5"/>
        <v>0</v>
      </c>
    </row>
    <row r="60" spans="1:16" x14ac:dyDescent="0.25">
      <c r="A60" s="32"/>
      <c r="B60" s="33"/>
      <c r="C60" s="40"/>
      <c r="D60" s="170">
        <v>14</v>
      </c>
      <c r="E60" s="170"/>
      <c r="F60" s="34">
        <v>14.1</v>
      </c>
      <c r="G60" s="43"/>
      <c r="H60" s="33"/>
      <c r="I60" s="33"/>
      <c r="J60" s="29" t="str">
        <f t="shared" si="3"/>
        <v/>
      </c>
      <c r="K60" s="29"/>
      <c r="L60" s="35"/>
      <c r="M60" s="35"/>
      <c r="N60" s="35"/>
      <c r="O60" s="51">
        <f t="shared" si="4"/>
        <v>0</v>
      </c>
      <c r="P60" s="52">
        <f t="shared" si="5"/>
        <v>0</v>
      </c>
    </row>
    <row r="61" spans="1:16" x14ac:dyDescent="0.25">
      <c r="A61" s="32"/>
      <c r="B61" s="33"/>
      <c r="C61" s="61"/>
      <c r="D61" s="171"/>
      <c r="E61" s="171"/>
      <c r="F61" s="34">
        <v>14.2</v>
      </c>
      <c r="G61" s="43"/>
      <c r="H61" s="33"/>
      <c r="I61" s="33"/>
      <c r="J61" s="29" t="str">
        <f t="shared" si="3"/>
        <v/>
      </c>
      <c r="K61" s="29"/>
      <c r="L61" s="35"/>
      <c r="M61" s="35"/>
      <c r="N61" s="35"/>
      <c r="O61" s="51">
        <f t="shared" si="4"/>
        <v>0</v>
      </c>
      <c r="P61" s="52">
        <f t="shared" si="5"/>
        <v>0</v>
      </c>
    </row>
    <row r="62" spans="1:16" x14ac:dyDescent="0.25">
      <c r="A62" s="32"/>
      <c r="B62" s="33"/>
      <c r="C62" s="61"/>
      <c r="D62" s="171"/>
      <c r="E62" s="171"/>
      <c r="F62" s="34">
        <v>14.3</v>
      </c>
      <c r="G62" s="43"/>
      <c r="H62" s="33"/>
      <c r="I62" s="33"/>
      <c r="J62" s="29" t="str">
        <f t="shared" si="3"/>
        <v/>
      </c>
      <c r="K62" s="29"/>
      <c r="L62" s="35"/>
      <c r="M62" s="35"/>
      <c r="N62" s="35"/>
      <c r="O62" s="51">
        <f t="shared" si="4"/>
        <v>0</v>
      </c>
      <c r="P62" s="52">
        <f t="shared" si="5"/>
        <v>0</v>
      </c>
    </row>
    <row r="63" spans="1:16" ht="15.75" thickBot="1" x14ac:dyDescent="0.3">
      <c r="A63" s="36"/>
      <c r="B63" s="37"/>
      <c r="C63" s="49"/>
      <c r="D63" s="173"/>
      <c r="E63" s="173"/>
      <c r="F63" s="38">
        <v>14.4</v>
      </c>
      <c r="G63" s="44"/>
      <c r="H63" s="37"/>
      <c r="I63" s="37"/>
      <c r="J63" s="49" t="str">
        <f t="shared" si="3"/>
        <v/>
      </c>
      <c r="K63" s="49"/>
      <c r="L63" s="39"/>
      <c r="M63" s="39"/>
      <c r="N63" s="39"/>
      <c r="O63" s="65">
        <f t="shared" si="4"/>
        <v>0</v>
      </c>
      <c r="P63" s="53">
        <f t="shared" si="5"/>
        <v>0</v>
      </c>
    </row>
    <row r="64" spans="1:16" s="1" customFormat="1" ht="25.5" customHeight="1" x14ac:dyDescent="0.25">
      <c r="A64" s="161" t="s">
        <v>219</v>
      </c>
      <c r="B64" s="163" t="s">
        <v>321</v>
      </c>
      <c r="C64" s="163" t="s">
        <v>343</v>
      </c>
      <c r="D64" s="175" t="s">
        <v>338</v>
      </c>
      <c r="E64" s="176"/>
      <c r="F64" s="57"/>
      <c r="G64" s="163" t="s">
        <v>325</v>
      </c>
      <c r="H64" s="163" t="s">
        <v>327</v>
      </c>
      <c r="I64" s="163" t="s">
        <v>332</v>
      </c>
      <c r="J64" s="163" t="s">
        <v>326</v>
      </c>
      <c r="K64" s="163" t="s">
        <v>337</v>
      </c>
      <c r="L64" s="192" t="s">
        <v>331</v>
      </c>
      <c r="M64" s="193"/>
      <c r="N64" s="194"/>
      <c r="O64" s="163" t="s">
        <v>329</v>
      </c>
      <c r="P64" s="190" t="s">
        <v>330</v>
      </c>
    </row>
    <row r="65" spans="1:16" ht="15.75" thickBot="1" x14ac:dyDescent="0.3">
      <c r="A65" s="162"/>
      <c r="B65" s="164"/>
      <c r="C65" s="164"/>
      <c r="D65" s="177"/>
      <c r="E65" s="174"/>
      <c r="F65" s="58"/>
      <c r="G65" s="164"/>
      <c r="H65" s="164"/>
      <c r="I65" s="164"/>
      <c r="J65" s="164"/>
      <c r="K65" s="164"/>
      <c r="L65" s="41" t="s">
        <v>322</v>
      </c>
      <c r="M65" s="41" t="s">
        <v>323</v>
      </c>
      <c r="N65" s="41" t="s">
        <v>324</v>
      </c>
      <c r="O65" s="164"/>
      <c r="P65" s="191"/>
    </row>
    <row r="66" spans="1:16" ht="15.75" thickTop="1" x14ac:dyDescent="0.25">
      <c r="A66" s="32"/>
      <c r="B66" s="33"/>
      <c r="C66" s="40"/>
      <c r="D66" s="170">
        <v>15</v>
      </c>
      <c r="E66" s="170"/>
      <c r="F66" s="34">
        <v>15.1</v>
      </c>
      <c r="G66" s="43"/>
      <c r="H66" s="33"/>
      <c r="I66" s="33"/>
      <c r="J66" s="29" t="str">
        <f t="shared" si="3"/>
        <v/>
      </c>
      <c r="K66" s="29"/>
      <c r="L66" s="35"/>
      <c r="M66" s="35"/>
      <c r="N66" s="35"/>
      <c r="O66" s="51">
        <f t="shared" si="4"/>
        <v>0</v>
      </c>
      <c r="P66" s="52">
        <f t="shared" si="5"/>
        <v>0</v>
      </c>
    </row>
    <row r="67" spans="1:16" x14ac:dyDescent="0.25">
      <c r="A67" s="32"/>
      <c r="B67" s="33"/>
      <c r="C67" s="61"/>
      <c r="D67" s="171"/>
      <c r="E67" s="171"/>
      <c r="F67" s="34">
        <v>15.2</v>
      </c>
      <c r="G67" s="43"/>
      <c r="H67" s="33"/>
      <c r="I67" s="33"/>
      <c r="J67" s="29" t="str">
        <f t="shared" si="3"/>
        <v/>
      </c>
      <c r="K67" s="29"/>
      <c r="L67" s="35"/>
      <c r="M67" s="35"/>
      <c r="N67" s="35"/>
      <c r="O67" s="51">
        <f t="shared" si="4"/>
        <v>0</v>
      </c>
      <c r="P67" s="52">
        <f t="shared" si="5"/>
        <v>0</v>
      </c>
    </row>
    <row r="68" spans="1:16" x14ac:dyDescent="0.25">
      <c r="A68" s="32"/>
      <c r="B68" s="33"/>
      <c r="C68" s="61"/>
      <c r="D68" s="171"/>
      <c r="E68" s="171"/>
      <c r="F68" s="34">
        <v>15.3</v>
      </c>
      <c r="G68" s="43"/>
      <c r="H68" s="33"/>
      <c r="I68" s="33"/>
      <c r="J68" s="29" t="str">
        <f t="shared" si="3"/>
        <v/>
      </c>
      <c r="K68" s="29"/>
      <c r="L68" s="35"/>
      <c r="M68" s="35"/>
      <c r="N68" s="35"/>
      <c r="O68" s="51">
        <f t="shared" si="4"/>
        <v>0</v>
      </c>
      <c r="P68" s="52">
        <f t="shared" si="5"/>
        <v>0</v>
      </c>
    </row>
    <row r="69" spans="1:16" x14ac:dyDescent="0.25">
      <c r="A69" s="32"/>
      <c r="B69" s="33"/>
      <c r="C69" s="61"/>
      <c r="D69" s="171"/>
      <c r="E69" s="172"/>
      <c r="F69" s="34">
        <v>15.4</v>
      </c>
      <c r="G69" s="43"/>
      <c r="H69" s="33"/>
      <c r="I69" s="33"/>
      <c r="J69" s="29" t="str">
        <f t="shared" si="3"/>
        <v/>
      </c>
      <c r="K69" s="29"/>
      <c r="L69" s="35"/>
      <c r="M69" s="35"/>
      <c r="N69" s="35"/>
      <c r="O69" s="51">
        <f t="shared" si="4"/>
        <v>0</v>
      </c>
      <c r="P69" s="52">
        <f t="shared" si="5"/>
        <v>0</v>
      </c>
    </row>
    <row r="70" spans="1:16" x14ac:dyDescent="0.25">
      <c r="A70" s="32"/>
      <c r="B70" s="33"/>
      <c r="C70" s="40"/>
      <c r="D70" s="170">
        <v>16</v>
      </c>
      <c r="E70" s="170"/>
      <c r="F70" s="34">
        <v>16.100000000000001</v>
      </c>
      <c r="G70" s="43"/>
      <c r="H70" s="33"/>
      <c r="I70" s="33"/>
      <c r="J70" s="29" t="str">
        <f t="shared" si="3"/>
        <v/>
      </c>
      <c r="K70" s="29"/>
      <c r="L70" s="35"/>
      <c r="M70" s="35"/>
      <c r="N70" s="35"/>
      <c r="O70" s="51">
        <f t="shared" si="4"/>
        <v>0</v>
      </c>
      <c r="P70" s="52">
        <f t="shared" si="5"/>
        <v>0</v>
      </c>
    </row>
    <row r="71" spans="1:16" x14ac:dyDescent="0.25">
      <c r="A71" s="32"/>
      <c r="B71" s="33"/>
      <c r="C71" s="61"/>
      <c r="D71" s="171"/>
      <c r="E71" s="171"/>
      <c r="F71" s="34">
        <v>16.2</v>
      </c>
      <c r="G71" s="43"/>
      <c r="H71" s="33"/>
      <c r="I71" s="33"/>
      <c r="J71" s="29" t="str">
        <f t="shared" si="3"/>
        <v/>
      </c>
      <c r="K71" s="29"/>
      <c r="L71" s="35"/>
      <c r="M71" s="35"/>
      <c r="N71" s="35"/>
      <c r="O71" s="51">
        <f t="shared" si="4"/>
        <v>0</v>
      </c>
      <c r="P71" s="52">
        <f t="shared" si="5"/>
        <v>0</v>
      </c>
    </row>
    <row r="72" spans="1:16" x14ac:dyDescent="0.25">
      <c r="A72" s="32"/>
      <c r="B72" s="33"/>
      <c r="C72" s="61"/>
      <c r="D72" s="171"/>
      <c r="E72" s="171"/>
      <c r="F72" s="34">
        <v>16.3</v>
      </c>
      <c r="G72" s="43"/>
      <c r="H72" s="33"/>
      <c r="I72" s="33"/>
      <c r="J72" s="29" t="str">
        <f t="shared" si="3"/>
        <v/>
      </c>
      <c r="K72" s="29"/>
      <c r="L72" s="35"/>
      <c r="M72" s="35"/>
      <c r="N72" s="35"/>
      <c r="O72" s="51">
        <f t="shared" si="4"/>
        <v>0</v>
      </c>
      <c r="P72" s="52">
        <f t="shared" si="5"/>
        <v>0</v>
      </c>
    </row>
    <row r="73" spans="1:16" x14ac:dyDescent="0.25">
      <c r="A73" s="32"/>
      <c r="B73" s="33"/>
      <c r="C73" s="61"/>
      <c r="D73" s="171"/>
      <c r="E73" s="172"/>
      <c r="F73" s="34">
        <v>16.399999999999999</v>
      </c>
      <c r="G73" s="43"/>
      <c r="H73" s="33"/>
      <c r="I73" s="33"/>
      <c r="J73" s="29" t="str">
        <f t="shared" si="3"/>
        <v/>
      </c>
      <c r="K73" s="29"/>
      <c r="L73" s="35"/>
      <c r="M73" s="35"/>
      <c r="N73" s="35"/>
      <c r="O73" s="51">
        <f t="shared" si="4"/>
        <v>0</v>
      </c>
      <c r="P73" s="52">
        <f t="shared" si="5"/>
        <v>0</v>
      </c>
    </row>
    <row r="74" spans="1:16" x14ac:dyDescent="0.25">
      <c r="A74" s="32"/>
      <c r="B74" s="33"/>
      <c r="C74" s="40"/>
      <c r="D74" s="170">
        <v>17</v>
      </c>
      <c r="E74" s="170"/>
      <c r="F74" s="34">
        <v>17.100000000000001</v>
      </c>
      <c r="G74" s="43"/>
      <c r="H74" s="33"/>
      <c r="I74" s="33"/>
      <c r="J74" s="29" t="str">
        <f t="shared" si="3"/>
        <v/>
      </c>
      <c r="K74" s="29"/>
      <c r="L74" s="35"/>
      <c r="M74" s="35"/>
      <c r="N74" s="35"/>
      <c r="O74" s="51">
        <f t="shared" si="4"/>
        <v>0</v>
      </c>
      <c r="P74" s="52">
        <f t="shared" si="5"/>
        <v>0</v>
      </c>
    </row>
    <row r="75" spans="1:16" x14ac:dyDescent="0.25">
      <c r="A75" s="32"/>
      <c r="B75" s="33"/>
      <c r="C75" s="61"/>
      <c r="D75" s="171"/>
      <c r="E75" s="171"/>
      <c r="F75" s="34">
        <v>17.2</v>
      </c>
      <c r="G75" s="43"/>
      <c r="H75" s="33"/>
      <c r="I75" s="33"/>
      <c r="J75" s="29" t="str">
        <f t="shared" ref="J75:J84" si="6">IF(H75="", "", IF(LOWER(H75)="Manual", "Man", "Machine"))</f>
        <v/>
      </c>
      <c r="K75" s="29"/>
      <c r="L75" s="35"/>
      <c r="M75" s="35"/>
      <c r="N75" s="35"/>
      <c r="O75" s="51">
        <f t="shared" ref="O75:O125" si="7">IFERROR(IF(J75="Man",AVERAGE(L75:N75)*K75)/I75,0)</f>
        <v>0</v>
      </c>
      <c r="P75" s="52">
        <f t="shared" si="5"/>
        <v>0</v>
      </c>
    </row>
    <row r="76" spans="1:16" x14ac:dyDescent="0.25">
      <c r="A76" s="32"/>
      <c r="B76" s="33"/>
      <c r="C76" s="61"/>
      <c r="D76" s="171"/>
      <c r="E76" s="171"/>
      <c r="F76" s="34">
        <v>17.3</v>
      </c>
      <c r="G76" s="43"/>
      <c r="H76" s="33"/>
      <c r="I76" s="33"/>
      <c r="J76" s="29" t="str">
        <f t="shared" si="6"/>
        <v/>
      </c>
      <c r="K76" s="29"/>
      <c r="L76" s="35"/>
      <c r="M76" s="35"/>
      <c r="N76" s="35"/>
      <c r="O76" s="51">
        <f t="shared" si="7"/>
        <v>0</v>
      </c>
      <c r="P76" s="52">
        <f t="shared" ref="P76:P125" si="8">IFERROR(IF(J76="Machine",(AVERAGE(L76:N76)/I76)/60,0),0)</f>
        <v>0</v>
      </c>
    </row>
    <row r="77" spans="1:16" x14ac:dyDescent="0.25">
      <c r="A77" s="32"/>
      <c r="B77" s="33"/>
      <c r="C77" s="61"/>
      <c r="D77" s="171"/>
      <c r="E77" s="172"/>
      <c r="F77" s="34">
        <v>17.399999999999999</v>
      </c>
      <c r="G77" s="43"/>
      <c r="H77" s="33"/>
      <c r="I77" s="33"/>
      <c r="J77" s="29" t="str">
        <f t="shared" si="6"/>
        <v/>
      </c>
      <c r="K77" s="29"/>
      <c r="L77" s="35"/>
      <c r="M77" s="35"/>
      <c r="N77" s="35"/>
      <c r="O77" s="51">
        <f t="shared" si="7"/>
        <v>0</v>
      </c>
      <c r="P77" s="52">
        <f t="shared" si="8"/>
        <v>0</v>
      </c>
    </row>
    <row r="78" spans="1:16" x14ac:dyDescent="0.25">
      <c r="A78" s="32"/>
      <c r="B78" s="33"/>
      <c r="C78" s="40"/>
      <c r="D78" s="170">
        <v>18</v>
      </c>
      <c r="E78" s="170"/>
      <c r="F78" s="34">
        <v>18.100000000000001</v>
      </c>
      <c r="G78" s="43"/>
      <c r="H78" s="33"/>
      <c r="I78" s="33"/>
      <c r="J78" s="29" t="str">
        <f t="shared" si="6"/>
        <v/>
      </c>
      <c r="K78" s="29"/>
      <c r="L78" s="35"/>
      <c r="M78" s="35"/>
      <c r="N78" s="35"/>
      <c r="O78" s="51">
        <f t="shared" si="7"/>
        <v>0</v>
      </c>
      <c r="P78" s="52">
        <f t="shared" si="8"/>
        <v>0</v>
      </c>
    </row>
    <row r="79" spans="1:16" x14ac:dyDescent="0.25">
      <c r="A79" s="32"/>
      <c r="B79" s="33"/>
      <c r="C79" s="61"/>
      <c r="D79" s="171"/>
      <c r="E79" s="171"/>
      <c r="F79" s="34">
        <v>18.2</v>
      </c>
      <c r="G79" s="43"/>
      <c r="H79" s="33"/>
      <c r="I79" s="33"/>
      <c r="J79" s="29" t="str">
        <f t="shared" si="6"/>
        <v/>
      </c>
      <c r="K79" s="29"/>
      <c r="L79" s="35"/>
      <c r="M79" s="35"/>
      <c r="N79" s="35"/>
      <c r="O79" s="51">
        <f t="shared" si="7"/>
        <v>0</v>
      </c>
      <c r="P79" s="52">
        <f t="shared" si="8"/>
        <v>0</v>
      </c>
    </row>
    <row r="80" spans="1:16" x14ac:dyDescent="0.25">
      <c r="A80" s="32"/>
      <c r="B80" s="33"/>
      <c r="C80" s="61"/>
      <c r="D80" s="171"/>
      <c r="E80" s="171"/>
      <c r="F80" s="34">
        <v>18.3</v>
      </c>
      <c r="G80" s="43"/>
      <c r="H80" s="33"/>
      <c r="I80" s="33"/>
      <c r="J80" s="29" t="str">
        <f t="shared" si="6"/>
        <v/>
      </c>
      <c r="K80" s="29"/>
      <c r="L80" s="35"/>
      <c r="M80" s="35"/>
      <c r="N80" s="35"/>
      <c r="O80" s="51">
        <f t="shared" si="7"/>
        <v>0</v>
      </c>
      <c r="P80" s="52">
        <f t="shared" si="8"/>
        <v>0</v>
      </c>
    </row>
    <row r="81" spans="1:16" x14ac:dyDescent="0.25">
      <c r="A81" s="32"/>
      <c r="B81" s="33"/>
      <c r="C81" s="61"/>
      <c r="D81" s="171"/>
      <c r="E81" s="172"/>
      <c r="F81" s="34">
        <v>18.399999999999999</v>
      </c>
      <c r="G81" s="43"/>
      <c r="H81" s="33"/>
      <c r="I81" s="33"/>
      <c r="J81" s="29" t="str">
        <f t="shared" si="6"/>
        <v/>
      </c>
      <c r="K81" s="29"/>
      <c r="L81" s="35"/>
      <c r="M81" s="35"/>
      <c r="N81" s="35"/>
      <c r="O81" s="51">
        <f t="shared" si="7"/>
        <v>0</v>
      </c>
      <c r="P81" s="52">
        <f t="shared" si="8"/>
        <v>0</v>
      </c>
    </row>
    <row r="82" spans="1:16" x14ac:dyDescent="0.25">
      <c r="A82" s="32"/>
      <c r="B82" s="33"/>
      <c r="C82" s="33"/>
      <c r="D82" s="169">
        <v>19</v>
      </c>
      <c r="E82" s="170"/>
      <c r="F82" s="34">
        <v>19.099999999999898</v>
      </c>
      <c r="G82" s="43"/>
      <c r="H82" s="33"/>
      <c r="I82" s="33"/>
      <c r="J82" s="33" t="str">
        <f t="shared" si="6"/>
        <v/>
      </c>
      <c r="K82" s="33"/>
      <c r="L82" s="35"/>
      <c r="M82" s="35"/>
      <c r="N82" s="35"/>
      <c r="O82" s="54">
        <f t="shared" si="7"/>
        <v>0</v>
      </c>
      <c r="P82" s="52">
        <f t="shared" si="8"/>
        <v>0</v>
      </c>
    </row>
    <row r="83" spans="1:16" x14ac:dyDescent="0.25">
      <c r="A83" s="32"/>
      <c r="B83" s="33"/>
      <c r="C83" s="33"/>
      <c r="D83" s="169"/>
      <c r="E83" s="171"/>
      <c r="F83" s="34">
        <v>19.1999999999999</v>
      </c>
      <c r="G83" s="43"/>
      <c r="H83" s="33"/>
      <c r="I83" s="33"/>
      <c r="J83" s="33" t="str">
        <f t="shared" si="6"/>
        <v/>
      </c>
      <c r="K83" s="33"/>
      <c r="L83" s="35"/>
      <c r="M83" s="35"/>
      <c r="N83" s="35"/>
      <c r="O83" s="54">
        <f t="shared" si="7"/>
        <v>0</v>
      </c>
      <c r="P83" s="52">
        <f t="shared" si="8"/>
        <v>0</v>
      </c>
    </row>
    <row r="84" spans="1:16" x14ac:dyDescent="0.25">
      <c r="A84" s="32"/>
      <c r="B84" s="33"/>
      <c r="C84" s="33"/>
      <c r="D84" s="169"/>
      <c r="E84" s="171"/>
      <c r="F84" s="34">
        <v>19.299999999999901</v>
      </c>
      <c r="G84" s="43"/>
      <c r="H84" s="33"/>
      <c r="I84" s="33"/>
      <c r="J84" s="33" t="str">
        <f t="shared" si="6"/>
        <v/>
      </c>
      <c r="K84" s="33"/>
      <c r="L84" s="35"/>
      <c r="M84" s="35"/>
      <c r="N84" s="35"/>
      <c r="O84" s="54">
        <f t="shared" si="7"/>
        <v>0</v>
      </c>
      <c r="P84" s="52">
        <f t="shared" si="8"/>
        <v>0</v>
      </c>
    </row>
    <row r="85" spans="1:16" x14ac:dyDescent="0.25">
      <c r="A85" s="56"/>
      <c r="B85" s="10"/>
      <c r="C85" s="10"/>
      <c r="D85" s="169"/>
      <c r="E85" s="172"/>
      <c r="F85" s="34">
        <v>19.399999999999899</v>
      </c>
      <c r="G85" s="55"/>
      <c r="H85" s="10"/>
      <c r="I85" s="10"/>
      <c r="J85" s="10"/>
      <c r="K85" s="10"/>
      <c r="L85" s="10"/>
      <c r="M85" s="10"/>
      <c r="N85" s="54"/>
      <c r="O85" s="54">
        <f t="shared" si="7"/>
        <v>0</v>
      </c>
      <c r="P85" s="52">
        <f t="shared" si="8"/>
        <v>0</v>
      </c>
    </row>
    <row r="86" spans="1:16" x14ac:dyDescent="0.25">
      <c r="A86" s="56"/>
      <c r="B86" s="10"/>
      <c r="C86" s="10"/>
      <c r="D86" s="169">
        <v>20</v>
      </c>
      <c r="E86" s="170"/>
      <c r="F86" s="34">
        <v>20.099999999999898</v>
      </c>
      <c r="G86" s="55"/>
      <c r="H86" s="10"/>
      <c r="I86" s="10"/>
      <c r="J86" s="10"/>
      <c r="K86" s="10"/>
      <c r="L86" s="10"/>
      <c r="M86" s="10"/>
      <c r="N86" s="54"/>
      <c r="O86" s="54">
        <f t="shared" si="7"/>
        <v>0</v>
      </c>
      <c r="P86" s="52">
        <f t="shared" si="8"/>
        <v>0</v>
      </c>
    </row>
    <row r="87" spans="1:16" x14ac:dyDescent="0.25">
      <c r="A87" s="56"/>
      <c r="B87" s="10"/>
      <c r="C87" s="10"/>
      <c r="D87" s="169"/>
      <c r="E87" s="171"/>
      <c r="F87" s="34">
        <v>20.1999999999999</v>
      </c>
      <c r="G87" s="55"/>
      <c r="H87" s="10"/>
      <c r="I87" s="10"/>
      <c r="J87" s="10"/>
      <c r="K87" s="10"/>
      <c r="L87" s="10"/>
      <c r="M87" s="10"/>
      <c r="N87" s="54"/>
      <c r="O87" s="54">
        <f t="shared" si="7"/>
        <v>0</v>
      </c>
      <c r="P87" s="52">
        <f t="shared" si="8"/>
        <v>0</v>
      </c>
    </row>
    <row r="88" spans="1:16" x14ac:dyDescent="0.25">
      <c r="A88" s="56"/>
      <c r="B88" s="10"/>
      <c r="C88" s="10"/>
      <c r="D88" s="169"/>
      <c r="E88" s="171"/>
      <c r="F88" s="34">
        <v>20.299999999999901</v>
      </c>
      <c r="G88" s="55"/>
      <c r="H88" s="10"/>
      <c r="I88" s="10"/>
      <c r="J88" s="10"/>
      <c r="K88" s="10"/>
      <c r="L88" s="10"/>
      <c r="M88" s="10"/>
      <c r="N88" s="54"/>
      <c r="O88" s="54">
        <f t="shared" si="7"/>
        <v>0</v>
      </c>
      <c r="P88" s="52">
        <f t="shared" si="8"/>
        <v>0</v>
      </c>
    </row>
    <row r="89" spans="1:16" x14ac:dyDescent="0.25">
      <c r="A89" s="56"/>
      <c r="B89" s="10"/>
      <c r="C89" s="10"/>
      <c r="D89" s="169"/>
      <c r="E89" s="172"/>
      <c r="F89" s="34">
        <v>20.399999999999899</v>
      </c>
      <c r="G89" s="55"/>
      <c r="H89" s="10"/>
      <c r="I89" s="10"/>
      <c r="J89" s="10"/>
      <c r="K89" s="10"/>
      <c r="L89" s="10"/>
      <c r="M89" s="10"/>
      <c r="N89" s="54"/>
      <c r="O89" s="54">
        <f t="shared" si="7"/>
        <v>0</v>
      </c>
      <c r="P89" s="52">
        <f t="shared" si="8"/>
        <v>0</v>
      </c>
    </row>
    <row r="90" spans="1:16" x14ac:dyDescent="0.25">
      <c r="A90" s="56"/>
      <c r="B90" s="10"/>
      <c r="C90" s="10"/>
      <c r="D90" s="169">
        <v>21</v>
      </c>
      <c r="E90" s="170"/>
      <c r="F90" s="34">
        <v>21.099999999999898</v>
      </c>
      <c r="G90" s="55"/>
      <c r="H90" s="10"/>
      <c r="I90" s="10"/>
      <c r="J90" s="10"/>
      <c r="K90" s="10"/>
      <c r="L90" s="10"/>
      <c r="M90" s="10"/>
      <c r="N90" s="54"/>
      <c r="O90" s="54">
        <f t="shared" si="7"/>
        <v>0</v>
      </c>
      <c r="P90" s="52">
        <f t="shared" si="8"/>
        <v>0</v>
      </c>
    </row>
    <row r="91" spans="1:16" x14ac:dyDescent="0.25">
      <c r="A91" s="56"/>
      <c r="B91" s="10"/>
      <c r="C91" s="10"/>
      <c r="D91" s="169"/>
      <c r="E91" s="171"/>
      <c r="F91" s="34">
        <v>21.1999999999999</v>
      </c>
      <c r="G91" s="55"/>
      <c r="H91" s="10"/>
      <c r="I91" s="10"/>
      <c r="J91" s="10"/>
      <c r="K91" s="10"/>
      <c r="L91" s="10"/>
      <c r="M91" s="10"/>
      <c r="N91" s="54"/>
      <c r="O91" s="54">
        <f t="shared" si="7"/>
        <v>0</v>
      </c>
      <c r="P91" s="52">
        <f t="shared" si="8"/>
        <v>0</v>
      </c>
    </row>
    <row r="92" spans="1:16" x14ac:dyDescent="0.25">
      <c r="A92" s="56"/>
      <c r="B92" s="10"/>
      <c r="C92" s="10"/>
      <c r="D92" s="169"/>
      <c r="E92" s="171"/>
      <c r="F92" s="34">
        <v>21.299999999999901</v>
      </c>
      <c r="G92" s="55"/>
      <c r="H92" s="10"/>
      <c r="I92" s="10"/>
      <c r="J92" s="10"/>
      <c r="K92" s="10"/>
      <c r="L92" s="10"/>
      <c r="M92" s="10"/>
      <c r="N92" s="54"/>
      <c r="O92" s="54">
        <f t="shared" si="7"/>
        <v>0</v>
      </c>
      <c r="P92" s="52">
        <f t="shared" si="8"/>
        <v>0</v>
      </c>
    </row>
    <row r="93" spans="1:16" x14ac:dyDescent="0.25">
      <c r="A93" s="56"/>
      <c r="B93" s="10"/>
      <c r="C93" s="10"/>
      <c r="D93" s="169"/>
      <c r="E93" s="172"/>
      <c r="F93" s="34">
        <v>21.4</v>
      </c>
      <c r="G93" s="55"/>
      <c r="H93" s="10"/>
      <c r="I93" s="10"/>
      <c r="J93" s="10"/>
      <c r="K93" s="10"/>
      <c r="L93" s="10"/>
      <c r="M93" s="10"/>
      <c r="N93" s="54"/>
      <c r="O93" s="54">
        <f t="shared" si="7"/>
        <v>0</v>
      </c>
      <c r="P93" s="52">
        <f t="shared" si="8"/>
        <v>0</v>
      </c>
    </row>
    <row r="94" spans="1:16" x14ac:dyDescent="0.25">
      <c r="A94" s="56"/>
      <c r="B94" s="10"/>
      <c r="C94" s="10"/>
      <c r="D94" s="169">
        <v>22</v>
      </c>
      <c r="E94" s="170"/>
      <c r="F94" s="34">
        <v>22.100000000000701</v>
      </c>
      <c r="G94" s="55"/>
      <c r="H94" s="10"/>
      <c r="I94" s="10"/>
      <c r="J94" s="10"/>
      <c r="K94" s="10"/>
      <c r="L94" s="10"/>
      <c r="M94" s="10"/>
      <c r="N94" s="54"/>
      <c r="O94" s="54">
        <f t="shared" si="7"/>
        <v>0</v>
      </c>
      <c r="P94" s="52">
        <f t="shared" si="8"/>
        <v>0</v>
      </c>
    </row>
    <row r="95" spans="1:16" x14ac:dyDescent="0.25">
      <c r="A95" s="56"/>
      <c r="B95" s="10"/>
      <c r="C95" s="10"/>
      <c r="D95" s="169"/>
      <c r="E95" s="171"/>
      <c r="F95" s="34">
        <v>22.200000000000799</v>
      </c>
      <c r="G95" s="55"/>
      <c r="H95" s="10"/>
      <c r="I95" s="10"/>
      <c r="J95" s="10"/>
      <c r="K95" s="10"/>
      <c r="L95" s="10"/>
      <c r="M95" s="10"/>
      <c r="N95" s="54"/>
      <c r="O95" s="54">
        <f t="shared" si="7"/>
        <v>0</v>
      </c>
      <c r="P95" s="52">
        <f t="shared" si="8"/>
        <v>0</v>
      </c>
    </row>
    <row r="96" spans="1:16" x14ac:dyDescent="0.25">
      <c r="A96" s="56"/>
      <c r="B96" s="10"/>
      <c r="C96" s="10"/>
      <c r="D96" s="169"/>
      <c r="E96" s="171"/>
      <c r="F96" s="34">
        <v>22.3000000000009</v>
      </c>
      <c r="G96" s="55"/>
      <c r="H96" s="10"/>
      <c r="I96" s="10"/>
      <c r="J96" s="10"/>
      <c r="K96" s="10"/>
      <c r="L96" s="10"/>
      <c r="M96" s="10"/>
      <c r="N96" s="54"/>
      <c r="O96" s="54">
        <f t="shared" si="7"/>
        <v>0</v>
      </c>
      <c r="P96" s="52">
        <f t="shared" si="8"/>
        <v>0</v>
      </c>
    </row>
    <row r="97" spans="1:16" x14ac:dyDescent="0.25">
      <c r="A97" s="56"/>
      <c r="B97" s="10"/>
      <c r="C97" s="10"/>
      <c r="D97" s="169"/>
      <c r="E97" s="172"/>
      <c r="F97" s="34">
        <v>22.400000000001</v>
      </c>
      <c r="G97" s="55"/>
      <c r="H97" s="10"/>
      <c r="I97" s="10"/>
      <c r="J97" s="10"/>
      <c r="K97" s="10"/>
      <c r="L97" s="10"/>
      <c r="M97" s="10"/>
      <c r="N97" s="54"/>
      <c r="O97" s="54">
        <f t="shared" si="7"/>
        <v>0</v>
      </c>
      <c r="P97" s="52">
        <f t="shared" si="8"/>
        <v>0</v>
      </c>
    </row>
    <row r="98" spans="1:16" x14ac:dyDescent="0.25">
      <c r="A98" s="56"/>
      <c r="B98" s="10"/>
      <c r="C98" s="10"/>
      <c r="D98" s="169">
        <v>23</v>
      </c>
      <c r="E98" s="170"/>
      <c r="F98" s="34">
        <v>23.1</v>
      </c>
      <c r="G98" s="55"/>
      <c r="H98" s="10"/>
      <c r="I98" s="10"/>
      <c r="J98" s="10"/>
      <c r="K98" s="10"/>
      <c r="L98" s="10"/>
      <c r="M98" s="10"/>
      <c r="N98" s="54"/>
      <c r="O98" s="54">
        <f t="shared" si="7"/>
        <v>0</v>
      </c>
      <c r="P98" s="52">
        <f t="shared" si="8"/>
        <v>0</v>
      </c>
    </row>
    <row r="99" spans="1:16" x14ac:dyDescent="0.25">
      <c r="A99" s="56"/>
      <c r="B99" s="10"/>
      <c r="C99" s="10"/>
      <c r="D99" s="169"/>
      <c r="E99" s="171"/>
      <c r="F99" s="34">
        <v>23.2</v>
      </c>
      <c r="G99" s="55"/>
      <c r="H99" s="10"/>
      <c r="I99" s="10"/>
      <c r="J99" s="10"/>
      <c r="K99" s="10"/>
      <c r="L99" s="10"/>
      <c r="M99" s="10"/>
      <c r="N99" s="54"/>
      <c r="O99" s="54">
        <f t="shared" si="7"/>
        <v>0</v>
      </c>
      <c r="P99" s="52">
        <f t="shared" si="8"/>
        <v>0</v>
      </c>
    </row>
    <row r="100" spans="1:16" x14ac:dyDescent="0.25">
      <c r="A100" s="56"/>
      <c r="B100" s="10"/>
      <c r="C100" s="10"/>
      <c r="D100" s="169"/>
      <c r="E100" s="171"/>
      <c r="F100" s="34">
        <v>23.3</v>
      </c>
      <c r="G100" s="55"/>
      <c r="H100" s="10"/>
      <c r="I100" s="10"/>
      <c r="J100" s="10"/>
      <c r="K100" s="10"/>
      <c r="L100" s="10"/>
      <c r="M100" s="10"/>
      <c r="N100" s="54"/>
      <c r="O100" s="54">
        <f t="shared" si="7"/>
        <v>0</v>
      </c>
      <c r="P100" s="52">
        <f t="shared" si="8"/>
        <v>0</v>
      </c>
    </row>
    <row r="101" spans="1:16" x14ac:dyDescent="0.25">
      <c r="A101" s="56"/>
      <c r="B101" s="10"/>
      <c r="C101" s="10"/>
      <c r="D101" s="169"/>
      <c r="E101" s="172"/>
      <c r="F101" s="34">
        <v>23.4</v>
      </c>
      <c r="G101" s="55"/>
      <c r="H101" s="10"/>
      <c r="I101" s="10"/>
      <c r="J101" s="10"/>
      <c r="K101" s="10"/>
      <c r="L101" s="10"/>
      <c r="M101" s="10"/>
      <c r="N101" s="54"/>
      <c r="O101" s="54">
        <f t="shared" si="7"/>
        <v>0</v>
      </c>
      <c r="P101" s="52">
        <f t="shared" si="8"/>
        <v>0</v>
      </c>
    </row>
    <row r="102" spans="1:16" x14ac:dyDescent="0.25">
      <c r="A102" s="56"/>
      <c r="B102" s="10"/>
      <c r="C102" s="10"/>
      <c r="D102" s="169">
        <v>24</v>
      </c>
      <c r="E102" s="170"/>
      <c r="F102" s="34">
        <v>24.1</v>
      </c>
      <c r="G102" s="55"/>
      <c r="H102" s="10"/>
      <c r="I102" s="10"/>
      <c r="J102" s="10"/>
      <c r="K102" s="10"/>
      <c r="L102" s="10"/>
      <c r="M102" s="10"/>
      <c r="N102" s="54"/>
      <c r="O102" s="54">
        <f t="shared" si="7"/>
        <v>0</v>
      </c>
      <c r="P102" s="52">
        <f t="shared" si="8"/>
        <v>0</v>
      </c>
    </row>
    <row r="103" spans="1:16" x14ac:dyDescent="0.25">
      <c r="A103" s="56"/>
      <c r="B103" s="10"/>
      <c r="C103" s="10"/>
      <c r="D103" s="169"/>
      <c r="E103" s="171"/>
      <c r="F103" s="34">
        <v>24.2</v>
      </c>
      <c r="G103" s="55"/>
      <c r="H103" s="10"/>
      <c r="I103" s="10"/>
      <c r="J103" s="10"/>
      <c r="K103" s="10"/>
      <c r="L103" s="10"/>
      <c r="M103" s="10"/>
      <c r="N103" s="54"/>
      <c r="O103" s="54">
        <f t="shared" si="7"/>
        <v>0</v>
      </c>
      <c r="P103" s="52">
        <f t="shared" si="8"/>
        <v>0</v>
      </c>
    </row>
    <row r="104" spans="1:16" x14ac:dyDescent="0.25">
      <c r="A104" s="56"/>
      <c r="B104" s="10"/>
      <c r="C104" s="10"/>
      <c r="D104" s="169"/>
      <c r="E104" s="171"/>
      <c r="F104" s="34">
        <v>24.3</v>
      </c>
      <c r="G104" s="55"/>
      <c r="H104" s="10"/>
      <c r="I104" s="10"/>
      <c r="J104" s="10"/>
      <c r="K104" s="10"/>
      <c r="L104" s="10"/>
      <c r="M104" s="10"/>
      <c r="N104" s="54"/>
      <c r="O104" s="54">
        <f t="shared" si="7"/>
        <v>0</v>
      </c>
      <c r="P104" s="52">
        <f t="shared" si="8"/>
        <v>0</v>
      </c>
    </row>
    <row r="105" spans="1:16" x14ac:dyDescent="0.25">
      <c r="A105" s="56"/>
      <c r="B105" s="10"/>
      <c r="C105" s="10"/>
      <c r="D105" s="169"/>
      <c r="E105" s="172"/>
      <c r="F105" s="55">
        <v>24.4</v>
      </c>
      <c r="G105" s="55"/>
      <c r="H105" s="10"/>
      <c r="I105" s="10"/>
      <c r="J105" s="10"/>
      <c r="K105" s="10"/>
      <c r="L105" s="10"/>
      <c r="M105" s="10"/>
      <c r="N105" s="54"/>
      <c r="O105" s="54">
        <f t="shared" si="7"/>
        <v>0</v>
      </c>
      <c r="P105" s="52">
        <f t="shared" si="8"/>
        <v>0</v>
      </c>
    </row>
    <row r="106" spans="1:16" x14ac:dyDescent="0.25">
      <c r="A106" s="62"/>
      <c r="B106" s="26"/>
      <c r="C106" s="26"/>
      <c r="D106" s="169">
        <v>25</v>
      </c>
      <c r="E106" s="171"/>
      <c r="F106" s="30">
        <v>25.099999999999898</v>
      </c>
      <c r="G106" s="63"/>
      <c r="H106" s="26"/>
      <c r="I106" s="26"/>
      <c r="J106" s="26"/>
      <c r="K106" s="26"/>
      <c r="L106" s="26"/>
      <c r="M106" s="26"/>
      <c r="N106" s="51"/>
      <c r="O106" s="51">
        <f t="shared" si="7"/>
        <v>0</v>
      </c>
      <c r="P106" s="64">
        <f t="shared" si="8"/>
        <v>0</v>
      </c>
    </row>
    <row r="107" spans="1:16" x14ac:dyDescent="0.25">
      <c r="A107" s="56"/>
      <c r="B107" s="10"/>
      <c r="C107" s="10"/>
      <c r="D107" s="169"/>
      <c r="E107" s="171"/>
      <c r="F107" s="34">
        <v>25.1999999999999</v>
      </c>
      <c r="G107" s="55"/>
      <c r="H107" s="10"/>
      <c r="I107" s="10"/>
      <c r="J107" s="10"/>
      <c r="K107" s="10"/>
      <c r="L107" s="10"/>
      <c r="M107" s="10"/>
      <c r="N107" s="54"/>
      <c r="O107" s="54">
        <f t="shared" si="7"/>
        <v>0</v>
      </c>
      <c r="P107" s="52">
        <f t="shared" si="8"/>
        <v>0</v>
      </c>
    </row>
    <row r="108" spans="1:16" x14ac:dyDescent="0.25">
      <c r="A108" s="56"/>
      <c r="B108" s="10"/>
      <c r="C108" s="10"/>
      <c r="D108" s="169"/>
      <c r="E108" s="171"/>
      <c r="F108" s="30">
        <v>25.299999999999901</v>
      </c>
      <c r="G108" s="55"/>
      <c r="H108" s="10"/>
      <c r="I108" s="10"/>
      <c r="J108" s="10"/>
      <c r="K108" s="10"/>
      <c r="L108" s="10"/>
      <c r="M108" s="10"/>
      <c r="N108" s="54"/>
      <c r="O108" s="54">
        <f t="shared" si="7"/>
        <v>0</v>
      </c>
      <c r="P108" s="52">
        <f t="shared" si="8"/>
        <v>0</v>
      </c>
    </row>
    <row r="109" spans="1:16" x14ac:dyDescent="0.25">
      <c r="A109" s="56"/>
      <c r="B109" s="10"/>
      <c r="C109" s="10"/>
      <c r="D109" s="169"/>
      <c r="E109" s="172"/>
      <c r="F109" s="34">
        <v>25.399999999999899</v>
      </c>
      <c r="G109" s="55"/>
      <c r="H109" s="10"/>
      <c r="I109" s="10"/>
      <c r="J109" s="10"/>
      <c r="K109" s="10"/>
      <c r="L109" s="10"/>
      <c r="M109" s="10"/>
      <c r="N109" s="54"/>
      <c r="O109" s="54">
        <f t="shared" si="7"/>
        <v>0</v>
      </c>
      <c r="P109" s="52">
        <f t="shared" si="8"/>
        <v>0</v>
      </c>
    </row>
    <row r="110" spans="1:16" x14ac:dyDescent="0.25">
      <c r="A110" s="56"/>
      <c r="B110" s="10"/>
      <c r="C110" s="10"/>
      <c r="D110" s="169">
        <v>26</v>
      </c>
      <c r="E110" s="170"/>
      <c r="F110" s="34">
        <v>26.100000000000701</v>
      </c>
      <c r="G110" s="55"/>
      <c r="H110" s="10"/>
      <c r="I110" s="10"/>
      <c r="J110" s="10"/>
      <c r="K110" s="10"/>
      <c r="L110" s="10"/>
      <c r="M110" s="10"/>
      <c r="N110" s="54"/>
      <c r="O110" s="54">
        <f t="shared" si="7"/>
        <v>0</v>
      </c>
      <c r="P110" s="52">
        <f t="shared" si="8"/>
        <v>0</v>
      </c>
    </row>
    <row r="111" spans="1:16" x14ac:dyDescent="0.25">
      <c r="A111" s="56"/>
      <c r="B111" s="10"/>
      <c r="C111" s="10"/>
      <c r="D111" s="169"/>
      <c r="E111" s="171"/>
      <c r="F111" s="34">
        <v>26.200000000000799</v>
      </c>
      <c r="G111" s="55"/>
      <c r="H111" s="10"/>
      <c r="I111" s="10"/>
      <c r="J111" s="10"/>
      <c r="K111" s="10"/>
      <c r="L111" s="10"/>
      <c r="M111" s="10"/>
      <c r="N111" s="54"/>
      <c r="O111" s="54">
        <f t="shared" si="7"/>
        <v>0</v>
      </c>
      <c r="P111" s="52">
        <f t="shared" si="8"/>
        <v>0</v>
      </c>
    </row>
    <row r="112" spans="1:16" x14ac:dyDescent="0.25">
      <c r="A112" s="56"/>
      <c r="B112" s="10"/>
      <c r="C112" s="10"/>
      <c r="D112" s="169"/>
      <c r="E112" s="171"/>
      <c r="F112" s="34">
        <v>26.3000000000009</v>
      </c>
      <c r="G112" s="55"/>
      <c r="H112" s="10"/>
      <c r="I112" s="10"/>
      <c r="J112" s="10"/>
      <c r="K112" s="10"/>
      <c r="L112" s="10"/>
      <c r="M112" s="10"/>
      <c r="N112" s="54"/>
      <c r="O112" s="54">
        <f t="shared" si="7"/>
        <v>0</v>
      </c>
      <c r="P112" s="52">
        <f t="shared" si="8"/>
        <v>0</v>
      </c>
    </row>
    <row r="113" spans="1:16" x14ac:dyDescent="0.25">
      <c r="A113" s="56"/>
      <c r="B113" s="10"/>
      <c r="C113" s="10"/>
      <c r="D113" s="169"/>
      <c r="E113" s="172"/>
      <c r="F113" s="34">
        <v>26.400000000001</v>
      </c>
      <c r="G113" s="55"/>
      <c r="H113" s="10"/>
      <c r="I113" s="10"/>
      <c r="J113" s="10"/>
      <c r="K113" s="10"/>
      <c r="L113" s="10"/>
      <c r="M113" s="10"/>
      <c r="N113" s="54"/>
      <c r="O113" s="54">
        <f t="shared" si="7"/>
        <v>0</v>
      </c>
      <c r="P113" s="52">
        <f t="shared" si="8"/>
        <v>0</v>
      </c>
    </row>
    <row r="114" spans="1:16" x14ac:dyDescent="0.25">
      <c r="A114" s="56"/>
      <c r="B114" s="10"/>
      <c r="C114" s="10"/>
      <c r="D114" s="169">
        <v>27</v>
      </c>
      <c r="E114" s="170"/>
      <c r="F114" s="34">
        <v>27.1</v>
      </c>
      <c r="G114" s="55"/>
      <c r="H114" s="10"/>
      <c r="I114" s="10"/>
      <c r="J114" s="10"/>
      <c r="K114" s="10"/>
      <c r="L114" s="10"/>
      <c r="M114" s="10"/>
      <c r="N114" s="54"/>
      <c r="O114" s="54">
        <f t="shared" si="7"/>
        <v>0</v>
      </c>
      <c r="P114" s="52">
        <f t="shared" si="8"/>
        <v>0</v>
      </c>
    </row>
    <row r="115" spans="1:16" x14ac:dyDescent="0.25">
      <c r="A115" s="56"/>
      <c r="B115" s="10"/>
      <c r="C115" s="10"/>
      <c r="D115" s="169"/>
      <c r="E115" s="171"/>
      <c r="F115" s="34">
        <v>27.2</v>
      </c>
      <c r="G115" s="55"/>
      <c r="H115" s="10"/>
      <c r="I115" s="10"/>
      <c r="J115" s="10"/>
      <c r="K115" s="10"/>
      <c r="L115" s="10"/>
      <c r="M115" s="10"/>
      <c r="N115" s="54"/>
      <c r="O115" s="54">
        <f t="shared" si="7"/>
        <v>0</v>
      </c>
      <c r="P115" s="52">
        <f t="shared" si="8"/>
        <v>0</v>
      </c>
    </row>
    <row r="116" spans="1:16" x14ac:dyDescent="0.25">
      <c r="A116" s="56"/>
      <c r="B116" s="10"/>
      <c r="C116" s="10"/>
      <c r="D116" s="169"/>
      <c r="E116" s="171"/>
      <c r="F116" s="34">
        <v>27.3</v>
      </c>
      <c r="G116" s="55"/>
      <c r="H116" s="10"/>
      <c r="I116" s="10"/>
      <c r="J116" s="10"/>
      <c r="K116" s="10"/>
      <c r="L116" s="10"/>
      <c r="M116" s="10"/>
      <c r="N116" s="54"/>
      <c r="O116" s="54">
        <f t="shared" si="7"/>
        <v>0</v>
      </c>
      <c r="P116" s="52">
        <f t="shared" si="8"/>
        <v>0</v>
      </c>
    </row>
    <row r="117" spans="1:16" x14ac:dyDescent="0.25">
      <c r="A117" s="56"/>
      <c r="B117" s="10"/>
      <c r="C117" s="10"/>
      <c r="D117" s="169"/>
      <c r="E117" s="172"/>
      <c r="F117" s="34">
        <v>27.4</v>
      </c>
      <c r="G117" s="55"/>
      <c r="H117" s="10"/>
      <c r="I117" s="10"/>
      <c r="J117" s="10"/>
      <c r="K117" s="10"/>
      <c r="L117" s="10"/>
      <c r="M117" s="10"/>
      <c r="N117" s="54"/>
      <c r="O117" s="54">
        <f t="shared" si="7"/>
        <v>0</v>
      </c>
      <c r="P117" s="52">
        <f t="shared" si="8"/>
        <v>0</v>
      </c>
    </row>
    <row r="118" spans="1:16" x14ac:dyDescent="0.25">
      <c r="A118" s="56"/>
      <c r="B118" s="10"/>
      <c r="C118" s="10"/>
      <c r="D118" s="169">
        <v>28</v>
      </c>
      <c r="E118" s="170"/>
      <c r="F118" s="34">
        <v>28.1</v>
      </c>
      <c r="G118" s="55"/>
      <c r="H118" s="10"/>
      <c r="I118" s="10"/>
      <c r="J118" s="10"/>
      <c r="K118" s="10"/>
      <c r="L118" s="10"/>
      <c r="M118" s="10"/>
      <c r="N118" s="54"/>
      <c r="O118" s="54">
        <f t="shared" si="7"/>
        <v>0</v>
      </c>
      <c r="P118" s="52">
        <f t="shared" si="8"/>
        <v>0</v>
      </c>
    </row>
    <row r="119" spans="1:16" x14ac:dyDescent="0.25">
      <c r="A119" s="56"/>
      <c r="B119" s="10"/>
      <c r="C119" s="10"/>
      <c r="D119" s="169"/>
      <c r="E119" s="171"/>
      <c r="F119" s="34">
        <v>28.2</v>
      </c>
      <c r="G119" s="55"/>
      <c r="H119" s="10"/>
      <c r="I119" s="10"/>
      <c r="J119" s="10"/>
      <c r="K119" s="10"/>
      <c r="L119" s="10"/>
      <c r="M119" s="10"/>
      <c r="N119" s="54"/>
      <c r="O119" s="54">
        <f t="shared" si="7"/>
        <v>0</v>
      </c>
      <c r="P119" s="52">
        <f t="shared" si="8"/>
        <v>0</v>
      </c>
    </row>
    <row r="120" spans="1:16" x14ac:dyDescent="0.25">
      <c r="A120" s="56"/>
      <c r="B120" s="10"/>
      <c r="C120" s="10"/>
      <c r="D120" s="169"/>
      <c r="E120" s="171"/>
      <c r="F120" s="34">
        <v>28.3</v>
      </c>
      <c r="G120" s="55"/>
      <c r="H120" s="10"/>
      <c r="I120" s="10"/>
      <c r="J120" s="10"/>
      <c r="K120" s="10"/>
      <c r="L120" s="10"/>
      <c r="M120" s="10"/>
      <c r="N120" s="54"/>
      <c r="O120" s="54">
        <f t="shared" si="7"/>
        <v>0</v>
      </c>
      <c r="P120" s="52">
        <f t="shared" si="8"/>
        <v>0</v>
      </c>
    </row>
    <row r="121" spans="1:16" x14ac:dyDescent="0.25">
      <c r="A121" s="56"/>
      <c r="B121" s="10"/>
      <c r="C121" s="10"/>
      <c r="D121" s="169"/>
      <c r="E121" s="172"/>
      <c r="F121" s="34">
        <v>28.4</v>
      </c>
      <c r="G121" s="55"/>
      <c r="H121" s="10"/>
      <c r="I121" s="10"/>
      <c r="J121" s="10"/>
      <c r="K121" s="10"/>
      <c r="L121" s="10"/>
      <c r="M121" s="10"/>
      <c r="N121" s="54"/>
      <c r="O121" s="54">
        <f t="shared" si="7"/>
        <v>0</v>
      </c>
      <c r="P121" s="52">
        <f t="shared" si="8"/>
        <v>0</v>
      </c>
    </row>
    <row r="122" spans="1:16" x14ac:dyDescent="0.25">
      <c r="A122" s="62"/>
      <c r="B122" s="26"/>
      <c r="C122" s="26"/>
      <c r="D122" s="172">
        <v>29</v>
      </c>
      <c r="E122" s="171"/>
      <c r="F122" s="30">
        <v>29.1</v>
      </c>
      <c r="G122" s="63"/>
      <c r="H122" s="26"/>
      <c r="I122" s="26"/>
      <c r="J122" s="26"/>
      <c r="K122" s="26"/>
      <c r="L122" s="26"/>
      <c r="M122" s="26"/>
      <c r="N122" s="51"/>
      <c r="O122" s="51">
        <f t="shared" si="7"/>
        <v>0</v>
      </c>
      <c r="P122" s="64">
        <f t="shared" si="8"/>
        <v>0</v>
      </c>
    </row>
    <row r="123" spans="1:16" x14ac:dyDescent="0.25">
      <c r="A123" s="56"/>
      <c r="B123" s="10"/>
      <c r="C123" s="10"/>
      <c r="D123" s="169"/>
      <c r="E123" s="171"/>
      <c r="F123" s="34">
        <v>29.2</v>
      </c>
      <c r="G123" s="55"/>
      <c r="H123" s="10"/>
      <c r="I123" s="10"/>
      <c r="J123" s="10"/>
      <c r="K123" s="10"/>
      <c r="L123" s="10"/>
      <c r="M123" s="10"/>
      <c r="N123" s="54"/>
      <c r="O123" s="54">
        <f t="shared" si="7"/>
        <v>0</v>
      </c>
      <c r="P123" s="52">
        <f t="shared" si="8"/>
        <v>0</v>
      </c>
    </row>
    <row r="124" spans="1:16" x14ac:dyDescent="0.25">
      <c r="A124" s="56"/>
      <c r="B124" s="10"/>
      <c r="C124" s="10"/>
      <c r="D124" s="169"/>
      <c r="E124" s="171"/>
      <c r="F124" s="34">
        <v>29.3</v>
      </c>
      <c r="G124" s="55"/>
      <c r="H124" s="10"/>
      <c r="I124" s="10"/>
      <c r="J124" s="10"/>
      <c r="K124" s="10"/>
      <c r="L124" s="10"/>
      <c r="M124" s="10"/>
      <c r="N124" s="54"/>
      <c r="O124" s="54">
        <f t="shared" si="7"/>
        <v>0</v>
      </c>
      <c r="P124" s="52">
        <f t="shared" si="8"/>
        <v>0</v>
      </c>
    </row>
    <row r="125" spans="1:16" ht="15.75" thickBot="1" x14ac:dyDescent="0.3">
      <c r="A125" s="132"/>
      <c r="B125" s="133"/>
      <c r="C125" s="133"/>
      <c r="D125" s="189"/>
      <c r="E125" s="173"/>
      <c r="F125" s="38">
        <v>29.4</v>
      </c>
      <c r="G125" s="134"/>
      <c r="H125" s="133"/>
      <c r="I125" s="133"/>
      <c r="J125" s="133"/>
      <c r="K125" s="133"/>
      <c r="L125" s="133"/>
      <c r="M125" s="133"/>
      <c r="N125" s="135"/>
      <c r="O125" s="135">
        <f t="shared" si="7"/>
        <v>0</v>
      </c>
      <c r="P125" s="53">
        <f t="shared" si="8"/>
        <v>0</v>
      </c>
    </row>
  </sheetData>
  <sheetProtection selectLockedCells="1"/>
  <mergeCells count="86">
    <mergeCell ref="A6:A7"/>
    <mergeCell ref="B6:B7"/>
    <mergeCell ref="C6:C7"/>
    <mergeCell ref="D6:E7"/>
    <mergeCell ref="G6:G7"/>
    <mergeCell ref="M1:N1"/>
    <mergeCell ref="O1:P1"/>
    <mergeCell ref="M2:N2"/>
    <mergeCell ref="M3:N5"/>
    <mergeCell ref="O3:P5"/>
    <mergeCell ref="D16:D19"/>
    <mergeCell ref="E16:E19"/>
    <mergeCell ref="H6:H7"/>
    <mergeCell ref="I6:I7"/>
    <mergeCell ref="J6:J7"/>
    <mergeCell ref="P6:P7"/>
    <mergeCell ref="D8:D11"/>
    <mergeCell ref="E8:E11"/>
    <mergeCell ref="D12:D15"/>
    <mergeCell ref="E12:E15"/>
    <mergeCell ref="K6:K7"/>
    <mergeCell ref="L6:N6"/>
    <mergeCell ref="O6:O7"/>
    <mergeCell ref="E20:E23"/>
    <mergeCell ref="D24:D27"/>
    <mergeCell ref="E24:E27"/>
    <mergeCell ref="D28:D31"/>
    <mergeCell ref="D36:D39"/>
    <mergeCell ref="E36:E39"/>
    <mergeCell ref="D32:D35"/>
    <mergeCell ref="E32:E35"/>
    <mergeCell ref="D20:D23"/>
    <mergeCell ref="D40:D43"/>
    <mergeCell ref="E40:E43"/>
    <mergeCell ref="D44:D47"/>
    <mergeCell ref="E44:E47"/>
    <mergeCell ref="D48:D51"/>
    <mergeCell ref="E48:E51"/>
    <mergeCell ref="D52:D55"/>
    <mergeCell ref="E52:E55"/>
    <mergeCell ref="D56:D59"/>
    <mergeCell ref="E56:E59"/>
    <mergeCell ref="D60:D63"/>
    <mergeCell ref="E60:E63"/>
    <mergeCell ref="A64:A65"/>
    <mergeCell ref="B64:B65"/>
    <mergeCell ref="C64:C65"/>
    <mergeCell ref="D64:E65"/>
    <mergeCell ref="O64:O65"/>
    <mergeCell ref="P64:P65"/>
    <mergeCell ref="D66:D69"/>
    <mergeCell ref="E66:E69"/>
    <mergeCell ref="D70:D73"/>
    <mergeCell ref="E70:E73"/>
    <mergeCell ref="G64:G65"/>
    <mergeCell ref="H64:H65"/>
    <mergeCell ref="I64:I65"/>
    <mergeCell ref="J64:J65"/>
    <mergeCell ref="K64:K65"/>
    <mergeCell ref="L64:N64"/>
    <mergeCell ref="D74:D77"/>
    <mergeCell ref="E74:E77"/>
    <mergeCell ref="D78:D81"/>
    <mergeCell ref="E78:E81"/>
    <mergeCell ref="D82:D85"/>
    <mergeCell ref="E82:E85"/>
    <mergeCell ref="D86:D89"/>
    <mergeCell ref="E86:E89"/>
    <mergeCell ref="D90:D93"/>
    <mergeCell ref="E90:E93"/>
    <mergeCell ref="D94:D97"/>
    <mergeCell ref="E94:E97"/>
    <mergeCell ref="D98:D101"/>
    <mergeCell ref="E98:E101"/>
    <mergeCell ref="D102:D105"/>
    <mergeCell ref="E102:E105"/>
    <mergeCell ref="D106:D109"/>
    <mergeCell ref="E106:E109"/>
    <mergeCell ref="D122:D125"/>
    <mergeCell ref="E122:E125"/>
    <mergeCell ref="D110:D113"/>
    <mergeCell ref="E110:E113"/>
    <mergeCell ref="D114:D117"/>
    <mergeCell ref="E114:E117"/>
    <mergeCell ref="D118:D121"/>
    <mergeCell ref="E118:E121"/>
  </mergeCells>
  <dataValidations count="1">
    <dataValidation type="list" allowBlank="1" showInputMessage="1" showErrorMessage="1" sqref="C3" xr:uid="{0D5D6A69-456E-4044-B83F-E3F9ED79A68A}">
      <formula1>"Final Assembly,SPU,Wood Working,Injection,Painting,PCB-AI,PCB-MI,PCB-SMT"</formula1>
    </dataValidation>
  </dataValidations>
  <printOptions horizontalCentered="1" verticalCentered="1"/>
  <pageMargins left="0.25" right="0.25" top="0.75" bottom="0.75" header="0.3" footer="0.3"/>
  <pageSetup paperSize="9" scale="36" orientation="portrait" r:id="rId1"/>
  <headerFooter>
    <oddHeader>&amp;LEF5  Rev2&amp;RConfidential</oddHeader>
  </headerFooter>
  <rowBreaks count="1" manualBreakCount="1">
    <brk id="63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"/>
  <sheetViews>
    <sheetView topLeftCell="A89" workbookViewId="0">
      <selection activeCell="F107" sqref="F107"/>
    </sheetView>
  </sheetViews>
  <sheetFormatPr defaultRowHeight="15" x14ac:dyDescent="0.25"/>
  <cols>
    <col min="1" max="2" width="9.5703125" bestFit="1" customWidth="1"/>
    <col min="3" max="3" width="21.85546875" bestFit="1" customWidth="1"/>
    <col min="4" max="4" width="50.42578125" bestFit="1" customWidth="1"/>
    <col min="5" max="5" width="10.140625" bestFit="1" customWidth="1"/>
    <col min="7" max="7" width="12.140625" bestFit="1" customWidth="1"/>
    <col min="8" max="8" width="9.85546875" bestFit="1" customWidth="1"/>
    <col min="9" max="9" width="18.28515625" bestFit="1" customWidth="1"/>
    <col min="10" max="10" width="9.28515625" bestFit="1" customWidth="1"/>
    <col min="11" max="11" width="14.85546875" bestFit="1" customWidth="1"/>
    <col min="12" max="12" width="12.85546875" bestFit="1" customWidth="1"/>
    <col min="13" max="13" width="12.140625" bestFit="1" customWidth="1"/>
    <col min="14" max="14" width="10.85546875" bestFit="1" customWidth="1"/>
    <col min="15" max="15" width="14.85546875" bestFit="1" customWidth="1"/>
    <col min="16" max="16" width="10.5703125" bestFit="1" customWidth="1"/>
  </cols>
  <sheetData>
    <row r="1" spans="1:16" x14ac:dyDescent="0.25">
      <c r="C1" s="2"/>
      <c r="E1" s="2"/>
      <c r="F1" s="2" t="s">
        <v>3</v>
      </c>
      <c r="G1" s="2" t="s">
        <v>3</v>
      </c>
      <c r="H1" s="2" t="s">
        <v>3</v>
      </c>
      <c r="I1" s="245" t="s">
        <v>7</v>
      </c>
      <c r="J1" s="245" t="s">
        <v>8</v>
      </c>
      <c r="K1" s="245" t="s">
        <v>9</v>
      </c>
      <c r="L1" s="245" t="s">
        <v>10</v>
      </c>
      <c r="M1" s="245" t="s">
        <v>11</v>
      </c>
      <c r="N1" s="245" t="s">
        <v>12</v>
      </c>
      <c r="O1" s="245" t="s">
        <v>13</v>
      </c>
      <c r="P1" s="245" t="s">
        <v>14</v>
      </c>
    </row>
    <row r="2" spans="1:16" x14ac:dyDescent="0.25">
      <c r="A2" s="2" t="s">
        <v>0</v>
      </c>
      <c r="B2" s="2" t="s">
        <v>1</v>
      </c>
      <c r="C2" s="2" t="s">
        <v>226</v>
      </c>
      <c r="D2" s="2" t="s">
        <v>2</v>
      </c>
      <c r="E2" s="2" t="s">
        <v>220</v>
      </c>
      <c r="F2" s="2" t="s">
        <v>4</v>
      </c>
      <c r="G2" s="2" t="s">
        <v>5</v>
      </c>
      <c r="H2" s="2" t="s">
        <v>6</v>
      </c>
      <c r="I2" s="245"/>
      <c r="J2" s="245"/>
      <c r="K2" s="245"/>
      <c r="L2" s="245"/>
      <c r="M2" s="245"/>
      <c r="N2" s="245"/>
      <c r="O2" s="245"/>
      <c r="P2" s="245"/>
    </row>
    <row r="3" spans="1:16" x14ac:dyDescent="0.25">
      <c r="A3" s="3" t="s">
        <v>15</v>
      </c>
      <c r="B3" s="3" t="s">
        <v>15</v>
      </c>
      <c r="C3" s="3" t="s">
        <v>227</v>
      </c>
      <c r="D3" s="4" t="s">
        <v>16</v>
      </c>
      <c r="E3" s="4" t="str">
        <f>B3</f>
        <v>MNT00001</v>
      </c>
      <c r="F3" s="3" t="s">
        <v>17</v>
      </c>
      <c r="G3" s="5"/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6">
        <v>37833</v>
      </c>
      <c r="N3" s="3">
        <v>19</v>
      </c>
      <c r="O3" s="3" t="s">
        <v>22</v>
      </c>
      <c r="P3" s="3" t="s">
        <v>23</v>
      </c>
    </row>
    <row r="4" spans="1:16" x14ac:dyDescent="0.25">
      <c r="A4" s="3" t="s">
        <v>24</v>
      </c>
      <c r="B4" s="3" t="s">
        <v>24</v>
      </c>
      <c r="C4" s="3" t="s">
        <v>228</v>
      </c>
      <c r="D4" s="4" t="s">
        <v>25</v>
      </c>
      <c r="E4" s="4" t="str">
        <f t="shared" ref="E4:E67" si="0">B4</f>
        <v>MNT00004</v>
      </c>
      <c r="F4" s="3" t="s">
        <v>17</v>
      </c>
      <c r="G4" s="5"/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6">
        <v>36922</v>
      </c>
      <c r="N4" s="3">
        <v>21</v>
      </c>
      <c r="O4" s="3" t="s">
        <v>26</v>
      </c>
      <c r="P4" s="3" t="s">
        <v>23</v>
      </c>
    </row>
    <row r="5" spans="1:16" x14ac:dyDescent="0.25">
      <c r="A5" s="3" t="s">
        <v>27</v>
      </c>
      <c r="B5" s="3" t="s">
        <v>27</v>
      </c>
      <c r="C5" s="3" t="s">
        <v>228</v>
      </c>
      <c r="D5" s="4" t="s">
        <v>28</v>
      </c>
      <c r="E5" s="4" t="str">
        <f t="shared" si="0"/>
        <v>MNT00005</v>
      </c>
      <c r="F5" s="3" t="s">
        <v>17</v>
      </c>
      <c r="G5" s="5"/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6">
        <v>36922</v>
      </c>
      <c r="N5" s="3">
        <v>21</v>
      </c>
      <c r="O5" s="3" t="s">
        <v>26</v>
      </c>
      <c r="P5" s="3" t="s">
        <v>23</v>
      </c>
    </row>
    <row r="6" spans="1:16" x14ac:dyDescent="0.25">
      <c r="A6" s="3" t="s">
        <v>29</v>
      </c>
      <c r="B6" s="3" t="s">
        <v>29</v>
      </c>
      <c r="C6" s="3" t="s">
        <v>228</v>
      </c>
      <c r="D6" s="4" t="s">
        <v>30</v>
      </c>
      <c r="E6" s="4" t="str">
        <f t="shared" si="0"/>
        <v>MNT00006</v>
      </c>
      <c r="F6" s="3" t="s">
        <v>17</v>
      </c>
      <c r="G6" s="5"/>
      <c r="H6" s="3" t="s">
        <v>17</v>
      </c>
      <c r="I6" s="3" t="s">
        <v>18</v>
      </c>
      <c r="J6" s="3" t="s">
        <v>19</v>
      </c>
      <c r="K6" s="3" t="s">
        <v>20</v>
      </c>
      <c r="L6" s="3" t="s">
        <v>21</v>
      </c>
      <c r="M6" s="6">
        <v>36922</v>
      </c>
      <c r="N6" s="3">
        <v>21</v>
      </c>
      <c r="O6" s="3" t="s">
        <v>26</v>
      </c>
      <c r="P6" s="3" t="s">
        <v>23</v>
      </c>
    </row>
    <row r="7" spans="1:16" x14ac:dyDescent="0.25">
      <c r="A7" s="3" t="s">
        <v>31</v>
      </c>
      <c r="B7" s="3" t="s">
        <v>31</v>
      </c>
      <c r="C7" s="3" t="s">
        <v>228</v>
      </c>
      <c r="D7" s="4" t="s">
        <v>32</v>
      </c>
      <c r="E7" s="4" t="str">
        <f t="shared" si="0"/>
        <v>MNT00007</v>
      </c>
      <c r="F7" s="3" t="s">
        <v>17</v>
      </c>
      <c r="G7" s="5"/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6">
        <v>36922</v>
      </c>
      <c r="N7" s="3">
        <v>21</v>
      </c>
      <c r="O7" s="3" t="s">
        <v>26</v>
      </c>
      <c r="P7" s="3" t="s">
        <v>23</v>
      </c>
    </row>
    <row r="8" spans="1:16" x14ac:dyDescent="0.25">
      <c r="A8" s="3" t="s">
        <v>33</v>
      </c>
      <c r="B8" s="3" t="s">
        <v>33</v>
      </c>
      <c r="C8" s="3" t="s">
        <v>228</v>
      </c>
      <c r="D8" s="4" t="s">
        <v>34</v>
      </c>
      <c r="E8" s="4" t="str">
        <f t="shared" si="0"/>
        <v>MNT00008</v>
      </c>
      <c r="F8" s="3" t="s">
        <v>17</v>
      </c>
      <c r="G8" s="5"/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6">
        <v>36922</v>
      </c>
      <c r="N8" s="3">
        <v>21</v>
      </c>
      <c r="O8" s="3" t="s">
        <v>26</v>
      </c>
      <c r="P8" s="3" t="s">
        <v>23</v>
      </c>
    </row>
    <row r="9" spans="1:16" x14ac:dyDescent="0.25">
      <c r="A9" s="3" t="s">
        <v>35</v>
      </c>
      <c r="B9" s="3" t="s">
        <v>35</v>
      </c>
      <c r="C9" s="3" t="s">
        <v>229</v>
      </c>
      <c r="D9" s="4" t="s">
        <v>36</v>
      </c>
      <c r="E9" s="4" t="str">
        <f t="shared" si="0"/>
        <v>MNT00012</v>
      </c>
      <c r="F9" s="3" t="s">
        <v>17</v>
      </c>
      <c r="G9" s="5"/>
      <c r="H9" s="3" t="s">
        <v>17</v>
      </c>
      <c r="I9" s="3" t="s">
        <v>18</v>
      </c>
      <c r="J9" s="3" t="s">
        <v>19</v>
      </c>
      <c r="K9" s="3" t="s">
        <v>20</v>
      </c>
      <c r="L9" s="3" t="s">
        <v>21</v>
      </c>
      <c r="M9" s="6">
        <v>41608</v>
      </c>
      <c r="N9" s="3">
        <v>9</v>
      </c>
      <c r="O9" s="3" t="s">
        <v>37</v>
      </c>
      <c r="P9" s="3" t="s">
        <v>23</v>
      </c>
    </row>
    <row r="10" spans="1:16" x14ac:dyDescent="0.25">
      <c r="A10" s="3" t="s">
        <v>38</v>
      </c>
      <c r="B10" s="3" t="s">
        <v>38</v>
      </c>
      <c r="C10" s="3" t="s">
        <v>229</v>
      </c>
      <c r="D10" s="4" t="s">
        <v>39</v>
      </c>
      <c r="E10" s="4" t="str">
        <f t="shared" si="0"/>
        <v>MNT00013</v>
      </c>
      <c r="F10" s="3" t="s">
        <v>17</v>
      </c>
      <c r="G10" s="5"/>
      <c r="H10" s="3" t="s">
        <v>17</v>
      </c>
      <c r="I10" s="3" t="s">
        <v>18</v>
      </c>
      <c r="J10" s="3" t="s">
        <v>19</v>
      </c>
      <c r="K10" s="3" t="s">
        <v>20</v>
      </c>
      <c r="L10" s="3" t="s">
        <v>21</v>
      </c>
      <c r="M10" s="6">
        <v>41608</v>
      </c>
      <c r="N10" s="3">
        <v>9</v>
      </c>
      <c r="O10" s="3" t="s">
        <v>37</v>
      </c>
      <c r="P10" s="3" t="s">
        <v>23</v>
      </c>
    </row>
    <row r="11" spans="1:16" x14ac:dyDescent="0.25">
      <c r="A11" s="3" t="s">
        <v>40</v>
      </c>
      <c r="B11" s="3" t="s">
        <v>40</v>
      </c>
      <c r="C11" s="3" t="s">
        <v>229</v>
      </c>
      <c r="D11" s="4" t="s">
        <v>41</v>
      </c>
      <c r="E11" s="4" t="str">
        <f t="shared" si="0"/>
        <v>MNT00014</v>
      </c>
      <c r="F11" s="3" t="s">
        <v>17</v>
      </c>
      <c r="G11" s="5"/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6">
        <v>41608</v>
      </c>
      <c r="N11" s="3">
        <v>9</v>
      </c>
      <c r="O11" s="3" t="s">
        <v>37</v>
      </c>
      <c r="P11" s="3" t="s">
        <v>23</v>
      </c>
    </row>
    <row r="12" spans="1:16" x14ac:dyDescent="0.25">
      <c r="A12" s="3" t="s">
        <v>42</v>
      </c>
      <c r="B12" s="3" t="s">
        <v>42</v>
      </c>
      <c r="C12" s="3" t="s">
        <v>229</v>
      </c>
      <c r="D12" s="4" t="s">
        <v>43</v>
      </c>
      <c r="E12" s="4" t="str">
        <f t="shared" si="0"/>
        <v>MNT00015</v>
      </c>
      <c r="F12" s="3" t="s">
        <v>17</v>
      </c>
      <c r="G12" s="5"/>
      <c r="H12" s="3" t="s">
        <v>17</v>
      </c>
      <c r="I12" s="3" t="s">
        <v>18</v>
      </c>
      <c r="J12" s="3" t="s">
        <v>19</v>
      </c>
      <c r="K12" s="3" t="s">
        <v>20</v>
      </c>
      <c r="L12" s="3" t="s">
        <v>21</v>
      </c>
      <c r="M12" s="6">
        <v>41608</v>
      </c>
      <c r="N12" s="3">
        <v>9</v>
      </c>
      <c r="O12" s="3" t="s">
        <v>37</v>
      </c>
      <c r="P12" s="3" t="s">
        <v>23</v>
      </c>
    </row>
    <row r="13" spans="1:16" x14ac:dyDescent="0.25">
      <c r="A13" s="3" t="s">
        <v>44</v>
      </c>
      <c r="B13" s="3" t="s">
        <v>44</v>
      </c>
      <c r="C13" s="3" t="s">
        <v>230</v>
      </c>
      <c r="D13" s="4" t="s">
        <v>45</v>
      </c>
      <c r="E13" s="4" t="str">
        <f t="shared" si="0"/>
        <v>MNT00016</v>
      </c>
      <c r="F13" s="3" t="s">
        <v>17</v>
      </c>
      <c r="G13" s="5"/>
      <c r="H13" s="3" t="s">
        <v>17</v>
      </c>
      <c r="I13" s="3" t="s">
        <v>18</v>
      </c>
      <c r="J13" s="3" t="s">
        <v>19</v>
      </c>
      <c r="K13" s="3" t="s">
        <v>20</v>
      </c>
      <c r="L13" s="3" t="s">
        <v>21</v>
      </c>
      <c r="M13" s="6">
        <v>36433</v>
      </c>
      <c r="N13" s="3">
        <v>23</v>
      </c>
      <c r="O13" s="3" t="s">
        <v>26</v>
      </c>
      <c r="P13" s="3" t="s">
        <v>23</v>
      </c>
    </row>
    <row r="14" spans="1:16" x14ac:dyDescent="0.25">
      <c r="A14" s="3" t="s">
        <v>46</v>
      </c>
      <c r="B14" s="3" t="s">
        <v>46</v>
      </c>
      <c r="C14" s="3" t="s">
        <v>230</v>
      </c>
      <c r="D14" s="4" t="s">
        <v>47</v>
      </c>
      <c r="E14" s="4" t="str">
        <f t="shared" si="0"/>
        <v>MNT00017</v>
      </c>
      <c r="F14" s="5"/>
      <c r="G14" s="5"/>
      <c r="H14" s="3" t="s">
        <v>17</v>
      </c>
      <c r="I14" s="3" t="s">
        <v>18</v>
      </c>
      <c r="J14" s="3" t="s">
        <v>19</v>
      </c>
      <c r="K14" s="3" t="s">
        <v>20</v>
      </c>
      <c r="L14" s="3" t="s">
        <v>21</v>
      </c>
      <c r="M14" s="6">
        <v>42490</v>
      </c>
      <c r="N14" s="3">
        <v>6</v>
      </c>
      <c r="O14" s="3" t="s">
        <v>26</v>
      </c>
      <c r="P14" s="3" t="s">
        <v>48</v>
      </c>
    </row>
    <row r="15" spans="1:16" x14ac:dyDescent="0.25">
      <c r="A15" s="3" t="s">
        <v>49</v>
      </c>
      <c r="B15" s="3" t="s">
        <v>49</v>
      </c>
      <c r="C15" s="3" t="s">
        <v>233</v>
      </c>
      <c r="D15" s="4" t="s">
        <v>50</v>
      </c>
      <c r="E15" s="4" t="str">
        <f t="shared" si="0"/>
        <v>MNT00018</v>
      </c>
      <c r="F15" s="3" t="s">
        <v>17</v>
      </c>
      <c r="G15" s="5"/>
      <c r="H15" s="3" t="s">
        <v>17</v>
      </c>
      <c r="I15" s="3" t="s">
        <v>18</v>
      </c>
      <c r="J15" s="3" t="s">
        <v>19</v>
      </c>
      <c r="K15" s="3" t="s">
        <v>20</v>
      </c>
      <c r="L15" s="3" t="s">
        <v>51</v>
      </c>
      <c r="M15" s="6">
        <v>36433</v>
      </c>
      <c r="N15" s="3">
        <v>23</v>
      </c>
      <c r="O15" s="3" t="s">
        <v>26</v>
      </c>
      <c r="P15" s="3" t="s">
        <v>23</v>
      </c>
    </row>
    <row r="16" spans="1:16" x14ac:dyDescent="0.25">
      <c r="A16" s="3" t="s">
        <v>52</v>
      </c>
      <c r="B16" s="3" t="s">
        <v>52</v>
      </c>
      <c r="C16" s="3" t="s">
        <v>234</v>
      </c>
      <c r="D16" s="4" t="s">
        <v>53</v>
      </c>
      <c r="E16" s="4" t="str">
        <f t="shared" si="0"/>
        <v>MNT00019</v>
      </c>
      <c r="F16" s="5"/>
      <c r="G16" s="5"/>
      <c r="H16" s="3" t="s">
        <v>17</v>
      </c>
      <c r="I16" s="3" t="s">
        <v>18</v>
      </c>
      <c r="J16" s="3" t="s">
        <v>19</v>
      </c>
      <c r="K16" s="3" t="s">
        <v>20</v>
      </c>
      <c r="L16" s="3" t="s">
        <v>51</v>
      </c>
      <c r="M16" s="6">
        <v>36433</v>
      </c>
      <c r="N16" s="3">
        <v>23</v>
      </c>
      <c r="O16" s="3" t="s">
        <v>26</v>
      </c>
      <c r="P16" s="3" t="s">
        <v>23</v>
      </c>
    </row>
    <row r="17" spans="1:16" x14ac:dyDescent="0.25">
      <c r="A17" s="3" t="s">
        <v>54</v>
      </c>
      <c r="B17" s="3" t="s">
        <v>54</v>
      </c>
      <c r="C17" s="3" t="s">
        <v>235</v>
      </c>
      <c r="D17" s="4" t="s">
        <v>221</v>
      </c>
      <c r="E17" s="4" t="str">
        <f t="shared" si="0"/>
        <v>MNT00020</v>
      </c>
      <c r="F17" s="3" t="s">
        <v>17</v>
      </c>
      <c r="G17" s="3" t="s">
        <v>17</v>
      </c>
      <c r="H17" s="3" t="s">
        <v>17</v>
      </c>
      <c r="I17" s="3" t="s">
        <v>18</v>
      </c>
      <c r="J17" s="3" t="s">
        <v>19</v>
      </c>
      <c r="K17" s="3" t="s">
        <v>20</v>
      </c>
      <c r="L17" s="3" t="s">
        <v>55</v>
      </c>
      <c r="M17" s="6">
        <v>39660</v>
      </c>
      <c r="N17" s="3">
        <v>14</v>
      </c>
      <c r="O17" s="3" t="s">
        <v>56</v>
      </c>
      <c r="P17" s="3" t="s">
        <v>23</v>
      </c>
    </row>
    <row r="18" spans="1:16" x14ac:dyDescent="0.25">
      <c r="A18" s="3" t="s">
        <v>57</v>
      </c>
      <c r="B18" s="3" t="s">
        <v>57</v>
      </c>
      <c r="C18" s="3" t="s">
        <v>232</v>
      </c>
      <c r="D18" s="4" t="s">
        <v>58</v>
      </c>
      <c r="E18" s="4" t="str">
        <f t="shared" si="0"/>
        <v>MNT00021</v>
      </c>
      <c r="F18" s="5"/>
      <c r="G18" s="5"/>
      <c r="H18" s="5"/>
      <c r="I18" s="3" t="s">
        <v>18</v>
      </c>
      <c r="J18" s="3" t="s">
        <v>19</v>
      </c>
      <c r="K18" s="3" t="s">
        <v>20</v>
      </c>
      <c r="L18" s="3" t="s">
        <v>51</v>
      </c>
      <c r="M18" s="6">
        <v>40178</v>
      </c>
      <c r="N18" s="3">
        <v>13</v>
      </c>
      <c r="O18" s="3" t="s">
        <v>59</v>
      </c>
      <c r="P18" s="3" t="s">
        <v>48</v>
      </c>
    </row>
    <row r="19" spans="1:16" x14ac:dyDescent="0.25">
      <c r="A19" s="3" t="s">
        <v>60</v>
      </c>
      <c r="B19" s="3" t="s">
        <v>60</v>
      </c>
      <c r="C19" s="3" t="s">
        <v>232</v>
      </c>
      <c r="D19" s="4" t="s">
        <v>61</v>
      </c>
      <c r="E19" s="4" t="str">
        <f t="shared" si="0"/>
        <v>MNT00022</v>
      </c>
      <c r="F19" s="5"/>
      <c r="G19" s="5"/>
      <c r="H19" s="5"/>
      <c r="I19" s="3" t="s">
        <v>18</v>
      </c>
      <c r="J19" s="3" t="s">
        <v>19</v>
      </c>
      <c r="K19" s="3" t="s">
        <v>20</v>
      </c>
      <c r="L19" s="3" t="s">
        <v>51</v>
      </c>
      <c r="M19" s="6">
        <v>40786</v>
      </c>
      <c r="N19" s="3">
        <v>11</v>
      </c>
      <c r="O19" s="3" t="s">
        <v>59</v>
      </c>
      <c r="P19" s="3" t="s">
        <v>48</v>
      </c>
    </row>
    <row r="20" spans="1:16" x14ac:dyDescent="0.25">
      <c r="A20" s="3" t="s">
        <v>62</v>
      </c>
      <c r="B20" s="3" t="s">
        <v>62</v>
      </c>
      <c r="C20" s="3" t="s">
        <v>232</v>
      </c>
      <c r="D20" s="4" t="s">
        <v>63</v>
      </c>
      <c r="E20" s="4" t="str">
        <f t="shared" si="0"/>
        <v>MNT00023</v>
      </c>
      <c r="F20" s="5"/>
      <c r="G20" s="5"/>
      <c r="H20" s="5"/>
      <c r="I20" s="3" t="s">
        <v>18</v>
      </c>
      <c r="J20" s="3" t="s">
        <v>19</v>
      </c>
      <c r="K20" s="3" t="s">
        <v>20</v>
      </c>
      <c r="L20" s="3" t="s">
        <v>51</v>
      </c>
      <c r="M20" s="6">
        <v>42094</v>
      </c>
      <c r="N20" s="3">
        <v>7</v>
      </c>
      <c r="O20" s="3" t="s">
        <v>22</v>
      </c>
      <c r="P20" s="3" t="s">
        <v>48</v>
      </c>
    </row>
    <row r="21" spans="1:16" x14ac:dyDescent="0.25">
      <c r="A21" s="3" t="s">
        <v>64</v>
      </c>
      <c r="B21" s="3" t="s">
        <v>64</v>
      </c>
      <c r="C21" s="3" t="s">
        <v>239</v>
      </c>
      <c r="D21" s="4" t="s">
        <v>65</v>
      </c>
      <c r="E21" s="4" t="str">
        <f t="shared" si="0"/>
        <v>MNT00024</v>
      </c>
      <c r="F21" s="3" t="s">
        <v>17</v>
      </c>
      <c r="G21" s="5"/>
      <c r="H21" s="3" t="s">
        <v>17</v>
      </c>
      <c r="I21" s="3" t="s">
        <v>18</v>
      </c>
      <c r="J21" s="3" t="s">
        <v>19</v>
      </c>
      <c r="K21" s="3" t="s">
        <v>20</v>
      </c>
      <c r="L21" s="3" t="s">
        <v>21</v>
      </c>
      <c r="M21" s="6">
        <v>41578</v>
      </c>
      <c r="N21" s="3">
        <v>9</v>
      </c>
      <c r="O21" s="3" t="s">
        <v>37</v>
      </c>
      <c r="P21" s="3" t="s">
        <v>23</v>
      </c>
    </row>
    <row r="22" spans="1:16" x14ac:dyDescent="0.25">
      <c r="A22" s="3" t="s">
        <v>66</v>
      </c>
      <c r="B22" s="3" t="s">
        <v>66</v>
      </c>
      <c r="C22" s="3" t="s">
        <v>239</v>
      </c>
      <c r="D22" s="4" t="s">
        <v>67</v>
      </c>
      <c r="E22" s="4" t="str">
        <f t="shared" si="0"/>
        <v>MNT00025</v>
      </c>
      <c r="F22" s="3" t="s">
        <v>17</v>
      </c>
      <c r="G22" s="5"/>
      <c r="H22" s="3" t="s">
        <v>17</v>
      </c>
      <c r="I22" s="3" t="s">
        <v>18</v>
      </c>
      <c r="J22" s="3" t="s">
        <v>19</v>
      </c>
      <c r="K22" s="3" t="s">
        <v>20</v>
      </c>
      <c r="L22" s="3" t="s">
        <v>21</v>
      </c>
      <c r="M22" s="6">
        <v>41578</v>
      </c>
      <c r="N22" s="3">
        <v>9</v>
      </c>
      <c r="O22" s="3" t="s">
        <v>37</v>
      </c>
      <c r="P22" s="3" t="s">
        <v>23</v>
      </c>
    </row>
    <row r="23" spans="1:16" x14ac:dyDescent="0.25">
      <c r="A23" s="3" t="s">
        <v>68</v>
      </c>
      <c r="B23" s="3" t="s">
        <v>68</v>
      </c>
      <c r="C23" s="3" t="s">
        <v>239</v>
      </c>
      <c r="D23" s="4" t="s">
        <v>69</v>
      </c>
      <c r="E23" s="4" t="str">
        <f t="shared" si="0"/>
        <v>MNT00026</v>
      </c>
      <c r="F23" s="3" t="s">
        <v>17</v>
      </c>
      <c r="G23" s="5"/>
      <c r="H23" s="3" t="s">
        <v>17</v>
      </c>
      <c r="I23" s="3" t="s">
        <v>18</v>
      </c>
      <c r="J23" s="3" t="s">
        <v>19</v>
      </c>
      <c r="K23" s="3" t="s">
        <v>20</v>
      </c>
      <c r="L23" s="3" t="s">
        <v>21</v>
      </c>
      <c r="M23" s="6">
        <v>38503</v>
      </c>
      <c r="N23" s="3">
        <v>17</v>
      </c>
      <c r="O23" s="3" t="s">
        <v>37</v>
      </c>
      <c r="P23" s="3" t="s">
        <v>23</v>
      </c>
    </row>
    <row r="24" spans="1:16" x14ac:dyDescent="0.25">
      <c r="A24" s="3" t="s">
        <v>70</v>
      </c>
      <c r="B24" s="3" t="s">
        <v>70</v>
      </c>
      <c r="C24" s="3" t="s">
        <v>241</v>
      </c>
      <c r="D24" s="4" t="s">
        <v>71</v>
      </c>
      <c r="E24" s="4" t="str">
        <f t="shared" si="0"/>
        <v>MNT00027</v>
      </c>
      <c r="F24" s="3" t="s">
        <v>17</v>
      </c>
      <c r="G24" s="5"/>
      <c r="H24" s="3" t="s">
        <v>17</v>
      </c>
      <c r="I24" s="3" t="s">
        <v>18</v>
      </c>
      <c r="J24" s="3" t="s">
        <v>19</v>
      </c>
      <c r="K24" s="3" t="s">
        <v>20</v>
      </c>
      <c r="L24" s="3" t="s">
        <v>21</v>
      </c>
      <c r="M24" s="6">
        <v>37894</v>
      </c>
      <c r="N24" s="3">
        <v>19</v>
      </c>
      <c r="O24" s="3" t="s">
        <v>37</v>
      </c>
      <c r="P24" s="3" t="s">
        <v>23</v>
      </c>
    </row>
    <row r="25" spans="1:16" x14ac:dyDescent="0.25">
      <c r="A25" s="3" t="s">
        <v>72</v>
      </c>
      <c r="B25" s="3" t="s">
        <v>72</v>
      </c>
      <c r="C25" s="3" t="s">
        <v>241</v>
      </c>
      <c r="D25" s="4" t="s">
        <v>73</v>
      </c>
      <c r="E25" s="4" t="str">
        <f t="shared" si="0"/>
        <v>MNT00028</v>
      </c>
      <c r="F25" s="3" t="s">
        <v>17</v>
      </c>
      <c r="G25" s="5"/>
      <c r="H25" s="3" t="s">
        <v>17</v>
      </c>
      <c r="I25" s="3" t="s">
        <v>18</v>
      </c>
      <c r="J25" s="3" t="s">
        <v>19</v>
      </c>
      <c r="K25" s="3" t="s">
        <v>20</v>
      </c>
      <c r="L25" s="3" t="s">
        <v>21</v>
      </c>
      <c r="M25" s="6">
        <v>37590</v>
      </c>
      <c r="N25" s="3">
        <v>20</v>
      </c>
      <c r="O25" s="3" t="s">
        <v>37</v>
      </c>
      <c r="P25" s="3" t="s">
        <v>23</v>
      </c>
    </row>
    <row r="26" spans="1:16" x14ac:dyDescent="0.25">
      <c r="A26" s="3" t="s">
        <v>74</v>
      </c>
      <c r="B26" s="3" t="s">
        <v>74</v>
      </c>
      <c r="C26" s="3" t="s">
        <v>242</v>
      </c>
      <c r="D26" s="4" t="s">
        <v>75</v>
      </c>
      <c r="E26" s="4" t="str">
        <f t="shared" si="0"/>
        <v>MNT00029</v>
      </c>
      <c r="F26" s="3" t="s">
        <v>17</v>
      </c>
      <c r="G26" s="5"/>
      <c r="H26" s="3" t="s">
        <v>17</v>
      </c>
      <c r="I26" s="3" t="s">
        <v>18</v>
      </c>
      <c r="J26" s="3" t="s">
        <v>19</v>
      </c>
      <c r="K26" s="3" t="s">
        <v>20</v>
      </c>
      <c r="L26" s="3" t="s">
        <v>21</v>
      </c>
      <c r="M26" s="6">
        <v>37560</v>
      </c>
      <c r="N26" s="3">
        <v>20</v>
      </c>
      <c r="O26" s="3" t="s">
        <v>26</v>
      </c>
      <c r="P26" s="3" t="s">
        <v>23</v>
      </c>
    </row>
    <row r="27" spans="1:16" x14ac:dyDescent="0.25">
      <c r="A27" s="3" t="s">
        <v>76</v>
      </c>
      <c r="B27" s="3" t="s">
        <v>76</v>
      </c>
      <c r="C27" s="3" t="s">
        <v>242</v>
      </c>
      <c r="D27" s="4" t="s">
        <v>77</v>
      </c>
      <c r="E27" s="4" t="str">
        <f t="shared" si="0"/>
        <v>MNT00030</v>
      </c>
      <c r="F27" s="3" t="s">
        <v>17</v>
      </c>
      <c r="G27" s="5"/>
      <c r="H27" s="3" t="s">
        <v>17</v>
      </c>
      <c r="I27" s="3" t="s">
        <v>18</v>
      </c>
      <c r="J27" s="3" t="s">
        <v>19</v>
      </c>
      <c r="K27" s="3" t="s">
        <v>20</v>
      </c>
      <c r="L27" s="3" t="s">
        <v>21</v>
      </c>
      <c r="M27" s="6">
        <v>37407</v>
      </c>
      <c r="N27" s="3">
        <v>20</v>
      </c>
      <c r="O27" s="3" t="s">
        <v>26</v>
      </c>
      <c r="P27" s="3" t="s">
        <v>23</v>
      </c>
    </row>
    <row r="28" spans="1:16" x14ac:dyDescent="0.25">
      <c r="A28" s="3" t="s">
        <v>78</v>
      </c>
      <c r="B28" s="3" t="s">
        <v>78</v>
      </c>
      <c r="C28" s="3" t="s">
        <v>239</v>
      </c>
      <c r="D28" s="4" t="s">
        <v>79</v>
      </c>
      <c r="E28" s="4" t="str">
        <f t="shared" si="0"/>
        <v>MNT00032</v>
      </c>
      <c r="F28" s="3" t="s">
        <v>17</v>
      </c>
      <c r="G28" s="5"/>
      <c r="H28" s="3" t="s">
        <v>17</v>
      </c>
      <c r="I28" s="3" t="s">
        <v>18</v>
      </c>
      <c r="J28" s="3" t="s">
        <v>19</v>
      </c>
      <c r="K28" s="3" t="s">
        <v>20</v>
      </c>
      <c r="L28" s="3" t="s">
        <v>21</v>
      </c>
      <c r="M28" s="6">
        <v>41578</v>
      </c>
      <c r="N28" s="3">
        <v>9</v>
      </c>
      <c r="O28" s="3" t="s">
        <v>37</v>
      </c>
      <c r="P28" s="3" t="s">
        <v>23</v>
      </c>
    </row>
    <row r="29" spans="1:16" x14ac:dyDescent="0.25">
      <c r="A29" s="3" t="s">
        <v>80</v>
      </c>
      <c r="B29" s="3" t="s">
        <v>80</v>
      </c>
      <c r="C29" s="3" t="s">
        <v>239</v>
      </c>
      <c r="D29" s="4" t="s">
        <v>81</v>
      </c>
      <c r="E29" s="4" t="str">
        <f t="shared" si="0"/>
        <v>MNT00033</v>
      </c>
      <c r="F29" s="3" t="s">
        <v>17</v>
      </c>
      <c r="G29" s="5"/>
      <c r="H29" s="3" t="s">
        <v>17</v>
      </c>
      <c r="I29" s="3" t="s">
        <v>18</v>
      </c>
      <c r="J29" s="3" t="s">
        <v>19</v>
      </c>
      <c r="K29" s="3" t="s">
        <v>20</v>
      </c>
      <c r="L29" s="3" t="s">
        <v>21</v>
      </c>
      <c r="M29" s="6">
        <v>36707</v>
      </c>
      <c r="N29" s="3">
        <v>22</v>
      </c>
      <c r="O29" s="3" t="s">
        <v>37</v>
      </c>
      <c r="P29" s="3" t="s">
        <v>23</v>
      </c>
    </row>
    <row r="30" spans="1:16" x14ac:dyDescent="0.25">
      <c r="A30" s="3" t="s">
        <v>82</v>
      </c>
      <c r="B30" s="3" t="s">
        <v>82</v>
      </c>
      <c r="C30" s="3" t="s">
        <v>239</v>
      </c>
      <c r="D30" s="4" t="s">
        <v>83</v>
      </c>
      <c r="E30" s="4" t="str">
        <f t="shared" si="0"/>
        <v>MNT00034</v>
      </c>
      <c r="F30" s="3" t="s">
        <v>17</v>
      </c>
      <c r="G30" s="5"/>
      <c r="H30" s="3" t="s">
        <v>17</v>
      </c>
      <c r="I30" s="3" t="s">
        <v>18</v>
      </c>
      <c r="J30" s="3" t="s">
        <v>19</v>
      </c>
      <c r="K30" s="3" t="s">
        <v>20</v>
      </c>
      <c r="L30" s="3" t="s">
        <v>21</v>
      </c>
      <c r="M30" s="6">
        <v>36707</v>
      </c>
      <c r="N30" s="3">
        <v>22</v>
      </c>
      <c r="O30" s="3" t="s">
        <v>37</v>
      </c>
      <c r="P30" s="3" t="s">
        <v>23</v>
      </c>
    </row>
    <row r="31" spans="1:16" x14ac:dyDescent="0.25">
      <c r="A31" s="3" t="s">
        <v>84</v>
      </c>
      <c r="B31" s="3" t="s">
        <v>84</v>
      </c>
      <c r="C31" s="3" t="s">
        <v>244</v>
      </c>
      <c r="D31" s="4" t="s">
        <v>85</v>
      </c>
      <c r="E31" s="4" t="str">
        <f t="shared" si="0"/>
        <v>MNT00038</v>
      </c>
      <c r="F31" s="3" t="s">
        <v>17</v>
      </c>
      <c r="G31" s="5"/>
      <c r="H31" s="3" t="s">
        <v>17</v>
      </c>
      <c r="I31" s="3" t="s">
        <v>18</v>
      </c>
      <c r="J31" s="3" t="s">
        <v>19</v>
      </c>
      <c r="K31" s="3" t="s">
        <v>20</v>
      </c>
      <c r="L31" s="3" t="s">
        <v>21</v>
      </c>
      <c r="M31" s="6">
        <v>37407</v>
      </c>
      <c r="N31" s="3">
        <v>20</v>
      </c>
      <c r="O31" s="3" t="s">
        <v>26</v>
      </c>
      <c r="P31" s="3" t="s">
        <v>23</v>
      </c>
    </row>
    <row r="32" spans="1:16" x14ac:dyDescent="0.25">
      <c r="A32" s="3" t="s">
        <v>86</v>
      </c>
      <c r="B32" s="3" t="s">
        <v>86</v>
      </c>
      <c r="C32" s="3" t="s">
        <v>244</v>
      </c>
      <c r="D32" s="4" t="s">
        <v>87</v>
      </c>
      <c r="E32" s="4" t="str">
        <f t="shared" si="0"/>
        <v>MNT00039</v>
      </c>
      <c r="F32" s="3" t="s">
        <v>17</v>
      </c>
      <c r="G32" s="5"/>
      <c r="H32" s="3" t="s">
        <v>17</v>
      </c>
      <c r="I32" s="3" t="s">
        <v>18</v>
      </c>
      <c r="J32" s="3" t="s">
        <v>19</v>
      </c>
      <c r="K32" s="3" t="s">
        <v>20</v>
      </c>
      <c r="L32" s="3" t="s">
        <v>21</v>
      </c>
      <c r="M32" s="6">
        <v>37407</v>
      </c>
      <c r="N32" s="3">
        <v>20</v>
      </c>
      <c r="O32" s="3" t="s">
        <v>26</v>
      </c>
      <c r="P32" s="3" t="s">
        <v>23</v>
      </c>
    </row>
    <row r="33" spans="1:16" x14ac:dyDescent="0.25">
      <c r="A33" s="3" t="s">
        <v>88</v>
      </c>
      <c r="B33" s="3" t="s">
        <v>88</v>
      </c>
      <c r="C33" s="3" t="s">
        <v>245</v>
      </c>
      <c r="D33" s="4" t="s">
        <v>89</v>
      </c>
      <c r="E33" s="4" t="str">
        <f t="shared" si="0"/>
        <v>MNT00040</v>
      </c>
      <c r="F33" s="3" t="s">
        <v>17</v>
      </c>
      <c r="G33" s="5"/>
      <c r="H33" s="3" t="s">
        <v>17</v>
      </c>
      <c r="I33" s="3" t="s">
        <v>18</v>
      </c>
      <c r="J33" s="3" t="s">
        <v>19</v>
      </c>
      <c r="K33" s="3" t="s">
        <v>20</v>
      </c>
      <c r="L33" s="3" t="s">
        <v>21</v>
      </c>
      <c r="M33" s="6">
        <v>37407</v>
      </c>
      <c r="N33" s="3">
        <v>20</v>
      </c>
      <c r="O33" s="3" t="s">
        <v>26</v>
      </c>
      <c r="P33" s="3" t="s">
        <v>23</v>
      </c>
    </row>
    <row r="34" spans="1:16" x14ac:dyDescent="0.25">
      <c r="A34" s="3" t="s">
        <v>90</v>
      </c>
      <c r="B34" s="3" t="s">
        <v>90</v>
      </c>
      <c r="C34" s="3" t="s">
        <v>245</v>
      </c>
      <c r="D34" s="4" t="s">
        <v>91</v>
      </c>
      <c r="E34" s="4" t="str">
        <f t="shared" si="0"/>
        <v>MNT00041</v>
      </c>
      <c r="F34" s="3" t="s">
        <v>17</v>
      </c>
      <c r="G34" s="5"/>
      <c r="H34" s="3" t="s">
        <v>17</v>
      </c>
      <c r="I34" s="3" t="s">
        <v>18</v>
      </c>
      <c r="J34" s="3" t="s">
        <v>19</v>
      </c>
      <c r="K34" s="3" t="s">
        <v>20</v>
      </c>
      <c r="L34" s="3" t="s">
        <v>21</v>
      </c>
      <c r="M34" s="6">
        <v>37407</v>
      </c>
      <c r="N34" s="3">
        <v>20</v>
      </c>
      <c r="O34" s="3" t="s">
        <v>26</v>
      </c>
      <c r="P34" s="3" t="s">
        <v>23</v>
      </c>
    </row>
    <row r="35" spans="1:16" x14ac:dyDescent="0.25">
      <c r="A35" s="3" t="s">
        <v>92</v>
      </c>
      <c r="B35" s="3" t="s">
        <v>92</v>
      </c>
      <c r="C35" s="3" t="s">
        <v>246</v>
      </c>
      <c r="D35" s="4" t="s">
        <v>93</v>
      </c>
      <c r="E35" s="4" t="str">
        <f t="shared" si="0"/>
        <v>MNT00042</v>
      </c>
      <c r="F35" s="3" t="s">
        <v>17</v>
      </c>
      <c r="G35" s="5"/>
      <c r="H35" s="3" t="s">
        <v>17</v>
      </c>
      <c r="I35" s="3" t="s">
        <v>18</v>
      </c>
      <c r="J35" s="3" t="s">
        <v>19</v>
      </c>
      <c r="K35" s="3" t="s">
        <v>20</v>
      </c>
      <c r="L35" s="3" t="s">
        <v>21</v>
      </c>
      <c r="M35" s="6">
        <v>41578</v>
      </c>
      <c r="N35" s="3">
        <v>9</v>
      </c>
      <c r="O35" s="3" t="s">
        <v>37</v>
      </c>
      <c r="P35" s="3" t="s">
        <v>23</v>
      </c>
    </row>
    <row r="36" spans="1:16" x14ac:dyDescent="0.25">
      <c r="A36" s="3" t="s">
        <v>94</v>
      </c>
      <c r="B36" s="3" t="s">
        <v>94</v>
      </c>
      <c r="C36" s="3" t="s">
        <v>246</v>
      </c>
      <c r="D36" s="4" t="s">
        <v>95</v>
      </c>
      <c r="E36" s="4" t="str">
        <f t="shared" si="0"/>
        <v>MNT00043</v>
      </c>
      <c r="F36" s="3" t="s">
        <v>17</v>
      </c>
      <c r="G36" s="5"/>
      <c r="H36" s="3" t="s">
        <v>17</v>
      </c>
      <c r="I36" s="3" t="s">
        <v>18</v>
      </c>
      <c r="J36" s="3" t="s">
        <v>19</v>
      </c>
      <c r="K36" s="3" t="s">
        <v>20</v>
      </c>
      <c r="L36" s="3" t="s">
        <v>21</v>
      </c>
      <c r="M36" s="6">
        <v>41578</v>
      </c>
      <c r="N36" s="3">
        <v>9</v>
      </c>
      <c r="O36" s="3" t="s">
        <v>37</v>
      </c>
      <c r="P36" s="3" t="s">
        <v>23</v>
      </c>
    </row>
    <row r="37" spans="1:16" x14ac:dyDescent="0.25">
      <c r="A37" s="3" t="s">
        <v>96</v>
      </c>
      <c r="B37" s="3" t="s">
        <v>96</v>
      </c>
      <c r="C37" s="3" t="s">
        <v>246</v>
      </c>
      <c r="D37" s="4" t="s">
        <v>97</v>
      </c>
      <c r="E37" s="4" t="str">
        <f t="shared" si="0"/>
        <v>MNT00044</v>
      </c>
      <c r="F37" s="3" t="s">
        <v>17</v>
      </c>
      <c r="G37" s="5"/>
      <c r="H37" s="3" t="s">
        <v>17</v>
      </c>
      <c r="I37" s="3" t="s">
        <v>18</v>
      </c>
      <c r="J37" s="3" t="s">
        <v>19</v>
      </c>
      <c r="K37" s="3" t="s">
        <v>20</v>
      </c>
      <c r="L37" s="3" t="s">
        <v>21</v>
      </c>
      <c r="M37" s="6">
        <v>41578</v>
      </c>
      <c r="N37" s="3">
        <v>9</v>
      </c>
      <c r="O37" s="3" t="s">
        <v>37</v>
      </c>
      <c r="P37" s="3" t="s">
        <v>23</v>
      </c>
    </row>
    <row r="38" spans="1:16" x14ac:dyDescent="0.25">
      <c r="A38" s="3" t="s">
        <v>98</v>
      </c>
      <c r="B38" s="3" t="s">
        <v>98</v>
      </c>
      <c r="C38" s="3" t="s">
        <v>247</v>
      </c>
      <c r="D38" s="4" t="s">
        <v>99</v>
      </c>
      <c r="E38" s="4" t="str">
        <f t="shared" si="0"/>
        <v>MNT00045</v>
      </c>
      <c r="F38" s="3" t="s">
        <v>17</v>
      </c>
      <c r="G38" s="5"/>
      <c r="H38" s="3" t="s">
        <v>17</v>
      </c>
      <c r="I38" s="3" t="s">
        <v>18</v>
      </c>
      <c r="J38" s="3" t="s">
        <v>19</v>
      </c>
      <c r="K38" s="3" t="s">
        <v>20</v>
      </c>
      <c r="L38" s="3" t="s">
        <v>21</v>
      </c>
      <c r="M38" s="6">
        <v>37407</v>
      </c>
      <c r="N38" s="3">
        <v>20</v>
      </c>
      <c r="O38" s="3" t="s">
        <v>26</v>
      </c>
      <c r="P38" s="3" t="s">
        <v>23</v>
      </c>
    </row>
    <row r="39" spans="1:16" x14ac:dyDescent="0.25">
      <c r="A39" s="3" t="s">
        <v>100</v>
      </c>
      <c r="B39" s="3" t="s">
        <v>100</v>
      </c>
      <c r="C39" s="3" t="s">
        <v>248</v>
      </c>
      <c r="D39" s="4" t="s">
        <v>101</v>
      </c>
      <c r="E39" s="4" t="str">
        <f t="shared" si="0"/>
        <v>MNT00046</v>
      </c>
      <c r="F39" s="3" t="s">
        <v>17</v>
      </c>
      <c r="G39" s="5"/>
      <c r="H39" s="3" t="s">
        <v>17</v>
      </c>
      <c r="I39" s="3" t="s">
        <v>18</v>
      </c>
      <c r="J39" s="3" t="s">
        <v>19</v>
      </c>
      <c r="K39" s="3" t="s">
        <v>20</v>
      </c>
      <c r="L39" s="3" t="s">
        <v>21</v>
      </c>
      <c r="M39" s="6">
        <v>37407</v>
      </c>
      <c r="N39" s="3">
        <v>20</v>
      </c>
      <c r="O39" s="3" t="s">
        <v>26</v>
      </c>
      <c r="P39" s="3" t="s">
        <v>23</v>
      </c>
    </row>
    <row r="40" spans="1:16" x14ac:dyDescent="0.25">
      <c r="A40" s="3" t="s">
        <v>102</v>
      </c>
      <c r="B40" s="3" t="s">
        <v>102</v>
      </c>
      <c r="C40" s="3" t="s">
        <v>248</v>
      </c>
      <c r="D40" s="4" t="s">
        <v>103</v>
      </c>
      <c r="E40" s="4" t="str">
        <f t="shared" si="0"/>
        <v>MNT00047</v>
      </c>
      <c r="F40" s="3" t="s">
        <v>17</v>
      </c>
      <c r="G40" s="5"/>
      <c r="H40" s="3" t="s">
        <v>17</v>
      </c>
      <c r="I40" s="3" t="s">
        <v>18</v>
      </c>
      <c r="J40" s="3" t="s">
        <v>19</v>
      </c>
      <c r="K40" s="3" t="s">
        <v>20</v>
      </c>
      <c r="L40" s="3" t="s">
        <v>21</v>
      </c>
      <c r="M40" s="6">
        <v>37407</v>
      </c>
      <c r="N40" s="3">
        <v>20</v>
      </c>
      <c r="O40" s="3" t="s">
        <v>26</v>
      </c>
      <c r="P40" s="3" t="s">
        <v>23</v>
      </c>
    </row>
    <row r="41" spans="1:16" x14ac:dyDescent="0.25">
      <c r="A41" s="3" t="s">
        <v>104</v>
      </c>
      <c r="B41" s="3" t="s">
        <v>104</v>
      </c>
      <c r="C41" s="3" t="s">
        <v>248</v>
      </c>
      <c r="D41" s="4" t="s">
        <v>105</v>
      </c>
      <c r="E41" s="4" t="str">
        <f t="shared" si="0"/>
        <v>MNT00048</v>
      </c>
      <c r="F41" s="3" t="s">
        <v>17</v>
      </c>
      <c r="G41" s="5"/>
      <c r="H41" s="3" t="s">
        <v>17</v>
      </c>
      <c r="I41" s="3" t="s">
        <v>18</v>
      </c>
      <c r="J41" s="3" t="s">
        <v>19</v>
      </c>
      <c r="K41" s="3" t="s">
        <v>20</v>
      </c>
      <c r="L41" s="3" t="s">
        <v>21</v>
      </c>
      <c r="M41" s="6">
        <v>37407</v>
      </c>
      <c r="N41" s="3">
        <v>20</v>
      </c>
      <c r="O41" s="3" t="s">
        <v>26</v>
      </c>
      <c r="P41" s="3" t="s">
        <v>23</v>
      </c>
    </row>
    <row r="42" spans="1:16" x14ac:dyDescent="0.25">
      <c r="A42" s="3" t="s">
        <v>106</v>
      </c>
      <c r="B42" s="3" t="s">
        <v>106</v>
      </c>
      <c r="C42" s="3" t="s">
        <v>249</v>
      </c>
      <c r="D42" s="4" t="s">
        <v>107</v>
      </c>
      <c r="E42" s="4" t="str">
        <f t="shared" si="0"/>
        <v>MNT00052</v>
      </c>
      <c r="F42" s="5"/>
      <c r="G42" s="5"/>
      <c r="H42" s="3" t="s">
        <v>17</v>
      </c>
      <c r="I42" s="3" t="s">
        <v>108</v>
      </c>
      <c r="J42" s="3" t="s">
        <v>19</v>
      </c>
      <c r="K42" s="3" t="s">
        <v>20</v>
      </c>
      <c r="L42" s="3" t="s">
        <v>51</v>
      </c>
      <c r="M42" s="6">
        <v>41182</v>
      </c>
      <c r="N42" s="3">
        <v>10</v>
      </c>
      <c r="O42" s="3" t="s">
        <v>26</v>
      </c>
      <c r="P42" s="3" t="s">
        <v>48</v>
      </c>
    </row>
    <row r="43" spans="1:16" x14ac:dyDescent="0.25">
      <c r="A43" s="3" t="s">
        <v>109</v>
      </c>
      <c r="B43" s="3" t="s">
        <v>109</v>
      </c>
      <c r="C43" s="3" t="s">
        <v>249</v>
      </c>
      <c r="D43" s="4" t="s">
        <v>110</v>
      </c>
      <c r="E43" s="4" t="str">
        <f t="shared" si="0"/>
        <v>MNT00053</v>
      </c>
      <c r="F43" s="5"/>
      <c r="G43" s="5"/>
      <c r="H43" s="3" t="s">
        <v>17</v>
      </c>
      <c r="I43" s="3" t="s">
        <v>108</v>
      </c>
      <c r="J43" s="3" t="s">
        <v>19</v>
      </c>
      <c r="K43" s="3" t="s">
        <v>20</v>
      </c>
      <c r="L43" s="3" t="s">
        <v>51</v>
      </c>
      <c r="M43" s="6">
        <v>36707</v>
      </c>
      <c r="N43" s="3">
        <v>22</v>
      </c>
      <c r="O43" s="3" t="s">
        <v>26</v>
      </c>
      <c r="P43" s="3" t="s">
        <v>48</v>
      </c>
    </row>
    <row r="44" spans="1:16" x14ac:dyDescent="0.25">
      <c r="A44" s="3" t="s">
        <v>111</v>
      </c>
      <c r="B44" s="3" t="s">
        <v>111</v>
      </c>
      <c r="C44" s="3" t="s">
        <v>249</v>
      </c>
      <c r="D44" s="4" t="s">
        <v>112</v>
      </c>
      <c r="E44" s="4" t="str">
        <f t="shared" si="0"/>
        <v>MNT00054</v>
      </c>
      <c r="F44" s="5"/>
      <c r="G44" s="5"/>
      <c r="H44" s="3" t="s">
        <v>17</v>
      </c>
      <c r="I44" s="3" t="s">
        <v>108</v>
      </c>
      <c r="J44" s="3" t="s">
        <v>19</v>
      </c>
      <c r="K44" s="3" t="s">
        <v>20</v>
      </c>
      <c r="L44" s="3" t="s">
        <v>51</v>
      </c>
      <c r="M44" s="6">
        <v>36433</v>
      </c>
      <c r="N44" s="3">
        <v>23</v>
      </c>
      <c r="O44" s="3" t="s">
        <v>26</v>
      </c>
      <c r="P44" s="3" t="s">
        <v>48</v>
      </c>
    </row>
    <row r="45" spans="1:16" x14ac:dyDescent="0.25">
      <c r="A45" s="3" t="s">
        <v>113</v>
      </c>
      <c r="B45" s="3" t="s">
        <v>113</v>
      </c>
      <c r="C45" s="3" t="s">
        <v>249</v>
      </c>
      <c r="D45" s="4" t="s">
        <v>114</v>
      </c>
      <c r="E45" s="4" t="str">
        <f t="shared" si="0"/>
        <v>MNT00055</v>
      </c>
      <c r="F45" s="5"/>
      <c r="G45" s="5"/>
      <c r="H45" s="3" t="s">
        <v>17</v>
      </c>
      <c r="I45" s="3" t="s">
        <v>108</v>
      </c>
      <c r="J45" s="3" t="s">
        <v>19</v>
      </c>
      <c r="K45" s="3" t="s">
        <v>20</v>
      </c>
      <c r="L45" s="3" t="s">
        <v>51</v>
      </c>
      <c r="M45" s="6">
        <v>40663</v>
      </c>
      <c r="N45" s="3">
        <v>11</v>
      </c>
      <c r="O45" s="3" t="s">
        <v>26</v>
      </c>
      <c r="P45" s="3" t="s">
        <v>48</v>
      </c>
    </row>
    <row r="46" spans="1:16" x14ac:dyDescent="0.25">
      <c r="A46" s="3" t="s">
        <v>115</v>
      </c>
      <c r="B46" s="3" t="s">
        <v>115</v>
      </c>
      <c r="C46" s="3" t="s">
        <v>249</v>
      </c>
      <c r="D46" s="4" t="s">
        <v>116</v>
      </c>
      <c r="E46" s="4" t="str">
        <f t="shared" si="0"/>
        <v>MNT00056</v>
      </c>
      <c r="F46" s="5"/>
      <c r="G46" s="5"/>
      <c r="H46" s="3" t="s">
        <v>17</v>
      </c>
      <c r="I46" s="3" t="s">
        <v>108</v>
      </c>
      <c r="J46" s="3" t="s">
        <v>19</v>
      </c>
      <c r="K46" s="3" t="s">
        <v>20</v>
      </c>
      <c r="L46" s="3" t="s">
        <v>51</v>
      </c>
      <c r="M46" s="6">
        <v>40663</v>
      </c>
      <c r="N46" s="3">
        <v>11</v>
      </c>
      <c r="O46" s="3" t="s">
        <v>26</v>
      </c>
      <c r="P46" s="3" t="s">
        <v>48</v>
      </c>
    </row>
    <row r="47" spans="1:16" x14ac:dyDescent="0.25">
      <c r="A47" s="3" t="s">
        <v>117</v>
      </c>
      <c r="B47" s="3" t="s">
        <v>117</v>
      </c>
      <c r="C47" s="3" t="s">
        <v>249</v>
      </c>
      <c r="D47" s="4" t="s">
        <v>118</v>
      </c>
      <c r="E47" s="4" t="str">
        <f t="shared" si="0"/>
        <v>MNT00057</v>
      </c>
      <c r="F47" s="5"/>
      <c r="G47" s="5"/>
      <c r="H47" s="3" t="s">
        <v>17</v>
      </c>
      <c r="I47" s="3" t="s">
        <v>108</v>
      </c>
      <c r="J47" s="3" t="s">
        <v>19</v>
      </c>
      <c r="K47" s="3" t="s">
        <v>20</v>
      </c>
      <c r="L47" s="3" t="s">
        <v>51</v>
      </c>
      <c r="M47" s="6">
        <v>42613</v>
      </c>
      <c r="N47" s="3">
        <v>6</v>
      </c>
      <c r="O47" s="3" t="s">
        <v>26</v>
      </c>
      <c r="P47" s="3" t="s">
        <v>48</v>
      </c>
    </row>
    <row r="48" spans="1:16" x14ac:dyDescent="0.25">
      <c r="A48" s="3" t="s">
        <v>119</v>
      </c>
      <c r="B48" s="3" t="s">
        <v>119</v>
      </c>
      <c r="C48" s="3" t="s">
        <v>249</v>
      </c>
      <c r="D48" s="4" t="s">
        <v>120</v>
      </c>
      <c r="E48" s="4" t="str">
        <f t="shared" si="0"/>
        <v>MNT00058</v>
      </c>
      <c r="F48" s="5"/>
      <c r="G48" s="5"/>
      <c r="H48" s="3" t="s">
        <v>17</v>
      </c>
      <c r="I48" s="3" t="s">
        <v>108</v>
      </c>
      <c r="J48" s="3" t="s">
        <v>19</v>
      </c>
      <c r="K48" s="3" t="s">
        <v>20</v>
      </c>
      <c r="L48" s="3" t="s">
        <v>51</v>
      </c>
      <c r="M48" s="6">
        <v>42613</v>
      </c>
      <c r="N48" s="3">
        <v>6</v>
      </c>
      <c r="O48" s="3" t="s">
        <v>26</v>
      </c>
      <c r="P48" s="3" t="s">
        <v>48</v>
      </c>
    </row>
    <row r="49" spans="1:16" x14ac:dyDescent="0.25">
      <c r="A49" s="3" t="s">
        <v>121</v>
      </c>
      <c r="B49" s="3" t="s">
        <v>121</v>
      </c>
      <c r="C49" s="3" t="s">
        <v>245</v>
      </c>
      <c r="D49" s="4" t="s">
        <v>122</v>
      </c>
      <c r="E49" s="4" t="str">
        <f t="shared" si="0"/>
        <v>MNT00059</v>
      </c>
      <c r="F49" s="3" t="s">
        <v>17</v>
      </c>
      <c r="G49" s="3" t="s">
        <v>17</v>
      </c>
      <c r="H49" s="3" t="s">
        <v>17</v>
      </c>
      <c r="I49" s="3" t="s">
        <v>18</v>
      </c>
      <c r="J49" s="3" t="s">
        <v>19</v>
      </c>
      <c r="K49" s="3" t="s">
        <v>20</v>
      </c>
      <c r="L49" s="3" t="s">
        <v>55</v>
      </c>
      <c r="M49" s="6">
        <v>36403</v>
      </c>
      <c r="N49" s="3">
        <v>23</v>
      </c>
      <c r="O49" s="3" t="s">
        <v>26</v>
      </c>
      <c r="P49" s="3" t="s">
        <v>23</v>
      </c>
    </row>
    <row r="50" spans="1:16" x14ac:dyDescent="0.25">
      <c r="A50" s="3" t="s">
        <v>123</v>
      </c>
      <c r="B50" s="3" t="s">
        <v>123</v>
      </c>
      <c r="C50" s="3" t="s">
        <v>245</v>
      </c>
      <c r="D50" s="4" t="s">
        <v>124</v>
      </c>
      <c r="E50" s="4" t="str">
        <f t="shared" si="0"/>
        <v>MNT00060</v>
      </c>
      <c r="F50" s="3" t="s">
        <v>17</v>
      </c>
      <c r="G50" s="5"/>
      <c r="H50" s="3" t="s">
        <v>17</v>
      </c>
      <c r="I50" s="3" t="s">
        <v>18</v>
      </c>
      <c r="J50" s="3" t="s">
        <v>19</v>
      </c>
      <c r="K50" s="3" t="s">
        <v>20</v>
      </c>
      <c r="L50" s="3" t="s">
        <v>21</v>
      </c>
      <c r="M50" s="6">
        <v>36433</v>
      </c>
      <c r="N50" s="3">
        <v>23</v>
      </c>
      <c r="O50" s="3" t="s">
        <v>26</v>
      </c>
      <c r="P50" s="3" t="s">
        <v>23</v>
      </c>
    </row>
    <row r="51" spans="1:16" x14ac:dyDescent="0.25">
      <c r="A51" s="3" t="s">
        <v>125</v>
      </c>
      <c r="B51" s="3" t="s">
        <v>125</v>
      </c>
      <c r="C51" s="3" t="s">
        <v>246</v>
      </c>
      <c r="D51" s="4" t="s">
        <v>126</v>
      </c>
      <c r="E51" s="4" t="str">
        <f t="shared" si="0"/>
        <v>MNT00061</v>
      </c>
      <c r="F51" s="3" t="s">
        <v>17</v>
      </c>
      <c r="G51" s="5"/>
      <c r="H51" s="3" t="s">
        <v>17</v>
      </c>
      <c r="I51" s="3" t="s">
        <v>18</v>
      </c>
      <c r="J51" s="3" t="s">
        <v>19</v>
      </c>
      <c r="K51" s="3" t="s">
        <v>20</v>
      </c>
      <c r="L51" s="3" t="s">
        <v>21</v>
      </c>
      <c r="M51" s="6">
        <v>36433</v>
      </c>
      <c r="N51" s="3">
        <v>23</v>
      </c>
      <c r="O51" s="3" t="s">
        <v>26</v>
      </c>
      <c r="P51" s="3" t="s">
        <v>23</v>
      </c>
    </row>
    <row r="52" spans="1:16" x14ac:dyDescent="0.25">
      <c r="A52" s="3" t="s">
        <v>127</v>
      </c>
      <c r="B52" s="3" t="s">
        <v>127</v>
      </c>
      <c r="C52" s="3" t="s">
        <v>250</v>
      </c>
      <c r="D52" s="4" t="s">
        <v>128</v>
      </c>
      <c r="E52" s="4" t="str">
        <f t="shared" si="0"/>
        <v>MNT00063</v>
      </c>
      <c r="F52" s="3" t="s">
        <v>17</v>
      </c>
      <c r="G52" s="3" t="s">
        <v>17</v>
      </c>
      <c r="H52" s="3" t="s">
        <v>17</v>
      </c>
      <c r="I52" s="3" t="s">
        <v>18</v>
      </c>
      <c r="J52" s="3" t="s">
        <v>19</v>
      </c>
      <c r="K52" s="3" t="s">
        <v>20</v>
      </c>
      <c r="L52" s="3" t="s">
        <v>55</v>
      </c>
      <c r="M52" s="6">
        <v>42124</v>
      </c>
      <c r="N52" s="3">
        <v>7</v>
      </c>
      <c r="O52" s="3" t="s">
        <v>37</v>
      </c>
      <c r="P52" s="3" t="s">
        <v>23</v>
      </c>
    </row>
    <row r="53" spans="1:16" x14ac:dyDescent="0.25">
      <c r="A53" s="3" t="s">
        <v>129</v>
      </c>
      <c r="B53" s="3" t="s">
        <v>129</v>
      </c>
      <c r="C53" s="3" t="s">
        <v>251</v>
      </c>
      <c r="D53" s="4" t="s">
        <v>222</v>
      </c>
      <c r="E53" s="4" t="str">
        <f t="shared" si="0"/>
        <v>MNT00064</v>
      </c>
      <c r="F53" s="3" t="s">
        <v>17</v>
      </c>
      <c r="G53" s="3" t="s">
        <v>17</v>
      </c>
      <c r="H53" s="3" t="s">
        <v>17</v>
      </c>
      <c r="I53" s="3" t="s">
        <v>18</v>
      </c>
      <c r="J53" s="3" t="s">
        <v>19</v>
      </c>
      <c r="K53" s="3" t="s">
        <v>20</v>
      </c>
      <c r="L53" s="3" t="s">
        <v>21</v>
      </c>
      <c r="M53" s="6">
        <v>40329</v>
      </c>
      <c r="N53" s="3">
        <v>12</v>
      </c>
      <c r="O53" s="3" t="s">
        <v>56</v>
      </c>
      <c r="P53" s="3" t="s">
        <v>23</v>
      </c>
    </row>
    <row r="54" spans="1:16" x14ac:dyDescent="0.25">
      <c r="A54" s="3" t="s">
        <v>130</v>
      </c>
      <c r="B54" s="3" t="s">
        <v>130</v>
      </c>
      <c r="C54" s="3" t="s">
        <v>251</v>
      </c>
      <c r="D54" s="4" t="s">
        <v>223</v>
      </c>
      <c r="E54" s="4" t="str">
        <f t="shared" si="0"/>
        <v>MNT00065</v>
      </c>
      <c r="F54" s="3" t="s">
        <v>17</v>
      </c>
      <c r="G54" s="3" t="s">
        <v>17</v>
      </c>
      <c r="H54" s="3" t="s">
        <v>17</v>
      </c>
      <c r="I54" s="3" t="s">
        <v>18</v>
      </c>
      <c r="J54" s="3" t="s">
        <v>19</v>
      </c>
      <c r="K54" s="3" t="s">
        <v>20</v>
      </c>
      <c r="L54" s="3" t="s">
        <v>21</v>
      </c>
      <c r="M54" s="6">
        <v>40329</v>
      </c>
      <c r="N54" s="3">
        <v>12</v>
      </c>
      <c r="O54" s="3" t="s">
        <v>56</v>
      </c>
      <c r="P54" s="3" t="s">
        <v>23</v>
      </c>
    </row>
    <row r="55" spans="1:16" x14ac:dyDescent="0.25">
      <c r="A55" s="3" t="s">
        <v>131</v>
      </c>
      <c r="B55" s="3" t="s">
        <v>131</v>
      </c>
      <c r="C55" s="3" t="s">
        <v>252</v>
      </c>
      <c r="D55" s="4" t="s">
        <v>132</v>
      </c>
      <c r="E55" s="4" t="str">
        <f t="shared" si="0"/>
        <v>MNT00067</v>
      </c>
      <c r="F55" s="3" t="s">
        <v>17</v>
      </c>
      <c r="G55" s="3" t="s">
        <v>17</v>
      </c>
      <c r="H55" s="3" t="s">
        <v>17</v>
      </c>
      <c r="I55" s="3" t="s">
        <v>18</v>
      </c>
      <c r="J55" s="3" t="s">
        <v>19</v>
      </c>
      <c r="K55" s="3" t="s">
        <v>20</v>
      </c>
      <c r="L55" s="3" t="s">
        <v>21</v>
      </c>
      <c r="M55" s="6">
        <v>38168</v>
      </c>
      <c r="N55" s="3">
        <v>18</v>
      </c>
      <c r="O55" s="3" t="s">
        <v>56</v>
      </c>
      <c r="P55" s="3" t="s">
        <v>23</v>
      </c>
    </row>
    <row r="56" spans="1:16" x14ac:dyDescent="0.25">
      <c r="A56" s="3" t="s">
        <v>133</v>
      </c>
      <c r="B56" s="3" t="s">
        <v>133</v>
      </c>
      <c r="C56" s="3" t="s">
        <v>253</v>
      </c>
      <c r="D56" s="4" t="s">
        <v>134</v>
      </c>
      <c r="E56" s="4" t="str">
        <f t="shared" si="0"/>
        <v>MNT00068</v>
      </c>
      <c r="F56" s="3" t="s">
        <v>17</v>
      </c>
      <c r="G56" s="5"/>
      <c r="H56" s="3" t="s">
        <v>17</v>
      </c>
      <c r="I56" s="3" t="s">
        <v>18</v>
      </c>
      <c r="J56" s="3" t="s">
        <v>19</v>
      </c>
      <c r="K56" s="3" t="s">
        <v>20</v>
      </c>
      <c r="L56" s="3" t="s">
        <v>21</v>
      </c>
      <c r="M56" s="6">
        <v>37741</v>
      </c>
      <c r="N56" s="3">
        <v>19</v>
      </c>
      <c r="O56" s="3" t="s">
        <v>37</v>
      </c>
      <c r="P56" s="3" t="s">
        <v>23</v>
      </c>
    </row>
    <row r="57" spans="1:16" x14ac:dyDescent="0.25">
      <c r="A57" s="3" t="s">
        <v>135</v>
      </c>
      <c r="B57" s="3" t="s">
        <v>135</v>
      </c>
      <c r="C57" s="3" t="s">
        <v>254</v>
      </c>
      <c r="D57" s="4" t="s">
        <v>136</v>
      </c>
      <c r="E57" s="4" t="str">
        <f t="shared" si="0"/>
        <v>MNT00069</v>
      </c>
      <c r="F57" s="3" t="s">
        <v>17</v>
      </c>
      <c r="G57" s="5"/>
      <c r="H57" s="3" t="s">
        <v>17</v>
      </c>
      <c r="I57" s="3" t="s">
        <v>18</v>
      </c>
      <c r="J57" s="3" t="s">
        <v>19</v>
      </c>
      <c r="K57" s="3" t="s">
        <v>20</v>
      </c>
      <c r="L57" s="3" t="s">
        <v>21</v>
      </c>
      <c r="M57" s="6">
        <v>41608</v>
      </c>
      <c r="N57" s="3">
        <v>9</v>
      </c>
      <c r="O57" s="3" t="s">
        <v>37</v>
      </c>
      <c r="P57" s="3" t="s">
        <v>23</v>
      </c>
    </row>
    <row r="58" spans="1:16" x14ac:dyDescent="0.25">
      <c r="A58" s="3" t="s">
        <v>137</v>
      </c>
      <c r="B58" s="3" t="s">
        <v>137</v>
      </c>
      <c r="C58" s="3" t="s">
        <v>255</v>
      </c>
      <c r="D58" s="4" t="s">
        <v>224</v>
      </c>
      <c r="E58" s="4" t="str">
        <f t="shared" si="0"/>
        <v>MNT00071</v>
      </c>
      <c r="F58" s="5"/>
      <c r="G58" s="5"/>
      <c r="H58" s="5"/>
      <c r="I58" s="3" t="s">
        <v>18</v>
      </c>
      <c r="J58" s="3" t="s">
        <v>19</v>
      </c>
      <c r="K58" s="3" t="s">
        <v>20</v>
      </c>
      <c r="L58" s="3" t="s">
        <v>51</v>
      </c>
      <c r="M58" s="6">
        <v>40786</v>
      </c>
      <c r="N58" s="3">
        <v>11</v>
      </c>
      <c r="O58" s="3" t="s">
        <v>59</v>
      </c>
      <c r="P58" s="3" t="s">
        <v>23</v>
      </c>
    </row>
    <row r="59" spans="1:16" x14ac:dyDescent="0.25">
      <c r="A59" s="3" t="s">
        <v>138</v>
      </c>
      <c r="B59" s="3" t="s">
        <v>138</v>
      </c>
      <c r="C59" s="3" t="s">
        <v>256</v>
      </c>
      <c r="D59" s="4" t="s">
        <v>225</v>
      </c>
      <c r="E59" s="4" t="str">
        <f t="shared" si="0"/>
        <v>MNT00072</v>
      </c>
      <c r="F59" s="5"/>
      <c r="G59" s="5"/>
      <c r="H59" s="5"/>
      <c r="I59" s="3" t="s">
        <v>18</v>
      </c>
      <c r="J59" s="3" t="s">
        <v>19</v>
      </c>
      <c r="K59" s="3" t="s">
        <v>20</v>
      </c>
      <c r="L59" s="3" t="s">
        <v>51</v>
      </c>
      <c r="M59" s="6">
        <v>40908</v>
      </c>
      <c r="N59" s="3">
        <v>11</v>
      </c>
      <c r="O59" s="3" t="s">
        <v>59</v>
      </c>
      <c r="P59" s="3" t="s">
        <v>23</v>
      </c>
    </row>
    <row r="60" spans="1:16" x14ac:dyDescent="0.25">
      <c r="A60" s="3" t="s">
        <v>139</v>
      </c>
      <c r="B60" s="3" t="s">
        <v>139</v>
      </c>
      <c r="C60" s="3" t="s">
        <v>257</v>
      </c>
      <c r="D60" s="4" t="s">
        <v>140</v>
      </c>
      <c r="E60" s="4" t="str">
        <f t="shared" si="0"/>
        <v>MNT00074</v>
      </c>
      <c r="F60" s="3" t="s">
        <v>17</v>
      </c>
      <c r="G60" s="5"/>
      <c r="H60" s="3" t="s">
        <v>17</v>
      </c>
      <c r="I60" s="3" t="s">
        <v>108</v>
      </c>
      <c r="J60" s="3" t="s">
        <v>19</v>
      </c>
      <c r="K60" s="3" t="s">
        <v>20</v>
      </c>
      <c r="L60" s="3" t="s">
        <v>55</v>
      </c>
      <c r="M60" s="6">
        <v>39813</v>
      </c>
      <c r="N60" s="3">
        <v>14</v>
      </c>
      <c r="O60" s="3" t="s">
        <v>26</v>
      </c>
      <c r="P60" s="3" t="s">
        <v>23</v>
      </c>
    </row>
    <row r="61" spans="1:16" x14ac:dyDescent="0.25">
      <c r="A61" s="3" t="s">
        <v>141</v>
      </c>
      <c r="B61" s="3" t="s">
        <v>141</v>
      </c>
      <c r="C61" s="4" t="s">
        <v>142</v>
      </c>
      <c r="D61" s="4" t="s">
        <v>142</v>
      </c>
      <c r="E61" s="4" t="str">
        <f t="shared" si="0"/>
        <v>MNT00076</v>
      </c>
      <c r="F61" s="5"/>
      <c r="G61" s="5"/>
      <c r="H61" s="5"/>
      <c r="I61" s="3" t="s">
        <v>108</v>
      </c>
      <c r="J61" s="3" t="s">
        <v>19</v>
      </c>
      <c r="K61" s="3" t="s">
        <v>20</v>
      </c>
      <c r="L61" s="3" t="s">
        <v>51</v>
      </c>
      <c r="M61" s="6">
        <v>42429</v>
      </c>
      <c r="N61" s="3">
        <v>6</v>
      </c>
      <c r="O61" s="3" t="s">
        <v>22</v>
      </c>
      <c r="P61" s="3" t="s">
        <v>48</v>
      </c>
    </row>
    <row r="62" spans="1:16" x14ac:dyDescent="0.25">
      <c r="A62" s="3" t="s">
        <v>143</v>
      </c>
      <c r="B62" s="3" t="s">
        <v>143</v>
      </c>
      <c r="C62" s="4" t="s">
        <v>144</v>
      </c>
      <c r="D62" s="4" t="s">
        <v>144</v>
      </c>
      <c r="E62" s="4" t="str">
        <f t="shared" si="0"/>
        <v>MNT00077</v>
      </c>
      <c r="F62" s="5"/>
      <c r="G62" s="5"/>
      <c r="H62" s="5"/>
      <c r="I62" s="3" t="s">
        <v>108</v>
      </c>
      <c r="J62" s="3" t="s">
        <v>19</v>
      </c>
      <c r="K62" s="3" t="s">
        <v>20</v>
      </c>
      <c r="L62" s="3" t="s">
        <v>51</v>
      </c>
      <c r="M62" s="6">
        <v>40298</v>
      </c>
      <c r="N62" s="3">
        <v>12</v>
      </c>
      <c r="O62" s="3" t="s">
        <v>22</v>
      </c>
      <c r="P62" s="3" t="s">
        <v>48</v>
      </c>
    </row>
    <row r="63" spans="1:16" x14ac:dyDescent="0.25">
      <c r="A63" s="3" t="s">
        <v>145</v>
      </c>
      <c r="B63" s="3" t="s">
        <v>145</v>
      </c>
      <c r="C63" s="4" t="s">
        <v>146</v>
      </c>
      <c r="D63" s="4" t="s">
        <v>146</v>
      </c>
      <c r="E63" s="4" t="str">
        <f t="shared" si="0"/>
        <v>MNT00078</v>
      </c>
      <c r="F63" s="5"/>
      <c r="G63" s="5"/>
      <c r="H63" s="5"/>
      <c r="I63" s="3" t="s">
        <v>108</v>
      </c>
      <c r="J63" s="3" t="s">
        <v>19</v>
      </c>
      <c r="K63" s="3" t="s">
        <v>20</v>
      </c>
      <c r="L63" s="3" t="s">
        <v>51</v>
      </c>
      <c r="M63" s="6">
        <v>40999</v>
      </c>
      <c r="N63" s="3">
        <v>10</v>
      </c>
      <c r="O63" s="3" t="s">
        <v>22</v>
      </c>
      <c r="P63" s="3" t="s">
        <v>48</v>
      </c>
    </row>
    <row r="64" spans="1:16" x14ac:dyDescent="0.25">
      <c r="A64" s="3" t="s">
        <v>147</v>
      </c>
      <c r="B64" s="3" t="s">
        <v>147</v>
      </c>
      <c r="C64" s="4" t="s">
        <v>148</v>
      </c>
      <c r="D64" s="4" t="s">
        <v>148</v>
      </c>
      <c r="E64" s="4" t="str">
        <f t="shared" si="0"/>
        <v>MNT00079</v>
      </c>
      <c r="F64" s="5"/>
      <c r="G64" s="5"/>
      <c r="H64" s="5"/>
      <c r="I64" s="3" t="s">
        <v>108</v>
      </c>
      <c r="J64" s="3" t="s">
        <v>19</v>
      </c>
      <c r="K64" s="3" t="s">
        <v>20</v>
      </c>
      <c r="L64" s="3" t="s">
        <v>51</v>
      </c>
      <c r="M64" s="6">
        <v>42004</v>
      </c>
      <c r="N64" s="3">
        <v>8</v>
      </c>
      <c r="O64" s="3" t="s">
        <v>22</v>
      </c>
      <c r="P64" s="3" t="s">
        <v>48</v>
      </c>
    </row>
    <row r="65" spans="1:16" x14ac:dyDescent="0.25">
      <c r="A65" s="3" t="s">
        <v>149</v>
      </c>
      <c r="B65" s="3" t="s">
        <v>149</v>
      </c>
      <c r="C65" s="4" t="s">
        <v>150</v>
      </c>
      <c r="D65" s="4" t="s">
        <v>150</v>
      </c>
      <c r="E65" s="4" t="str">
        <f t="shared" si="0"/>
        <v>MNT00080</v>
      </c>
      <c r="F65" s="5"/>
      <c r="G65" s="5"/>
      <c r="H65" s="5"/>
      <c r="I65" s="3" t="s">
        <v>108</v>
      </c>
      <c r="J65" s="3" t="s">
        <v>19</v>
      </c>
      <c r="K65" s="3" t="s">
        <v>20</v>
      </c>
      <c r="L65" s="3" t="s">
        <v>51</v>
      </c>
      <c r="M65" s="6">
        <v>41060</v>
      </c>
      <c r="N65" s="3">
        <v>10</v>
      </c>
      <c r="O65" s="3" t="s">
        <v>59</v>
      </c>
      <c r="P65" s="3" t="s">
        <v>48</v>
      </c>
    </row>
    <row r="66" spans="1:16" x14ac:dyDescent="0.25">
      <c r="A66" s="3" t="s">
        <v>151</v>
      </c>
      <c r="B66" s="3" t="s">
        <v>151</v>
      </c>
      <c r="C66" s="4" t="s">
        <v>152</v>
      </c>
      <c r="D66" s="4" t="s">
        <v>152</v>
      </c>
      <c r="E66" s="4" t="str">
        <f t="shared" si="0"/>
        <v>MNT00081</v>
      </c>
      <c r="F66" s="5"/>
      <c r="G66" s="5"/>
      <c r="H66" s="5"/>
      <c r="I66" s="3" t="s">
        <v>108</v>
      </c>
      <c r="J66" s="3" t="s">
        <v>19</v>
      </c>
      <c r="K66" s="3" t="s">
        <v>20</v>
      </c>
      <c r="L66" s="3" t="s">
        <v>51</v>
      </c>
      <c r="M66" s="6">
        <v>43071</v>
      </c>
      <c r="N66" s="3">
        <v>5</v>
      </c>
      <c r="O66" s="3" t="s">
        <v>22</v>
      </c>
      <c r="P66" s="3" t="s">
        <v>48</v>
      </c>
    </row>
    <row r="67" spans="1:16" x14ac:dyDescent="0.25">
      <c r="A67" s="3" t="s">
        <v>153</v>
      </c>
      <c r="B67" s="3" t="s">
        <v>153</v>
      </c>
      <c r="C67" s="3" t="s">
        <v>258</v>
      </c>
      <c r="D67" s="4" t="s">
        <v>154</v>
      </c>
      <c r="E67" s="4" t="str">
        <f t="shared" si="0"/>
        <v>MNT00083</v>
      </c>
      <c r="F67" s="5"/>
      <c r="G67" s="3" t="s">
        <v>17</v>
      </c>
      <c r="H67" s="3" t="s">
        <v>17</v>
      </c>
      <c r="I67" s="3" t="s">
        <v>18</v>
      </c>
      <c r="J67" s="3" t="s">
        <v>19</v>
      </c>
      <c r="K67" s="3" t="s">
        <v>20</v>
      </c>
      <c r="L67" s="3" t="s">
        <v>51</v>
      </c>
      <c r="M67" s="6">
        <v>36433</v>
      </c>
      <c r="N67" s="3">
        <v>23</v>
      </c>
      <c r="O67" s="3" t="s">
        <v>26</v>
      </c>
      <c r="P67" s="3" t="s">
        <v>48</v>
      </c>
    </row>
    <row r="68" spans="1:16" x14ac:dyDescent="0.25">
      <c r="A68" s="3" t="s">
        <v>155</v>
      </c>
      <c r="B68" s="3" t="s">
        <v>155</v>
      </c>
      <c r="C68" s="3" t="s">
        <v>259</v>
      </c>
      <c r="D68" s="4" t="s">
        <v>156</v>
      </c>
      <c r="E68" s="4" t="str">
        <f t="shared" ref="E68:E98" si="1">B68</f>
        <v>MNT00084</v>
      </c>
      <c r="F68" s="5"/>
      <c r="G68" s="5"/>
      <c r="H68" s="5"/>
      <c r="I68" s="3" t="s">
        <v>18</v>
      </c>
      <c r="J68" s="3" t="s">
        <v>19</v>
      </c>
      <c r="K68" s="3" t="s">
        <v>20</v>
      </c>
      <c r="L68" s="3" t="s">
        <v>51</v>
      </c>
      <c r="M68" s="6">
        <v>41608</v>
      </c>
      <c r="N68" s="3">
        <v>9</v>
      </c>
      <c r="O68" s="3" t="s">
        <v>59</v>
      </c>
      <c r="P68" s="3" t="s">
        <v>48</v>
      </c>
    </row>
    <row r="69" spans="1:16" x14ac:dyDescent="0.25">
      <c r="A69" s="3" t="s">
        <v>157</v>
      </c>
      <c r="B69" s="3" t="s">
        <v>157</v>
      </c>
      <c r="C69" s="3" t="s">
        <v>260</v>
      </c>
      <c r="D69" s="4" t="s">
        <v>158</v>
      </c>
      <c r="E69" s="4" t="str">
        <f t="shared" si="1"/>
        <v>MNT00085</v>
      </c>
      <c r="F69" s="5"/>
      <c r="G69" s="5"/>
      <c r="H69" s="5"/>
      <c r="I69" s="3" t="s">
        <v>18</v>
      </c>
      <c r="J69" s="3" t="s">
        <v>19</v>
      </c>
      <c r="K69" s="3" t="s">
        <v>20</v>
      </c>
      <c r="L69" s="3" t="s">
        <v>51</v>
      </c>
      <c r="M69" s="6">
        <v>43342</v>
      </c>
      <c r="N69" s="3">
        <v>4</v>
      </c>
      <c r="O69" s="3" t="s">
        <v>59</v>
      </c>
      <c r="P69" s="3" t="s">
        <v>48</v>
      </c>
    </row>
    <row r="70" spans="1:16" x14ac:dyDescent="0.25">
      <c r="A70" s="3" t="s">
        <v>159</v>
      </c>
      <c r="B70" s="3" t="s">
        <v>159</v>
      </c>
      <c r="C70" s="3" t="s">
        <v>261</v>
      </c>
      <c r="D70" s="4" t="s">
        <v>160</v>
      </c>
      <c r="E70" s="4" t="str">
        <f t="shared" si="1"/>
        <v>MNT00086</v>
      </c>
      <c r="F70" s="3" t="s">
        <v>17</v>
      </c>
      <c r="G70" s="5"/>
      <c r="H70" s="3" t="s">
        <v>17</v>
      </c>
      <c r="I70" s="3" t="s">
        <v>18</v>
      </c>
      <c r="J70" s="3" t="s">
        <v>19</v>
      </c>
      <c r="K70" s="3" t="s">
        <v>20</v>
      </c>
      <c r="L70" s="3" t="s">
        <v>55</v>
      </c>
      <c r="M70" s="6">
        <v>36707</v>
      </c>
      <c r="N70" s="3">
        <v>22</v>
      </c>
      <c r="O70" s="3" t="s">
        <v>26</v>
      </c>
      <c r="P70" s="3" t="s">
        <v>23</v>
      </c>
    </row>
    <row r="71" spans="1:16" x14ac:dyDescent="0.25">
      <c r="A71" s="3" t="s">
        <v>161</v>
      </c>
      <c r="B71" s="3" t="s">
        <v>161</v>
      </c>
      <c r="C71" s="3" t="s">
        <v>262</v>
      </c>
      <c r="D71" s="4" t="s">
        <v>162</v>
      </c>
      <c r="E71" s="4" t="str">
        <f t="shared" si="1"/>
        <v>MNT00087</v>
      </c>
      <c r="F71" s="3" t="s">
        <v>17</v>
      </c>
      <c r="G71" s="5"/>
      <c r="H71" s="3" t="s">
        <v>17</v>
      </c>
      <c r="I71" s="3" t="s">
        <v>18</v>
      </c>
      <c r="J71" s="3" t="s">
        <v>19</v>
      </c>
      <c r="K71" s="3" t="s">
        <v>20</v>
      </c>
      <c r="L71" s="3" t="s">
        <v>55</v>
      </c>
      <c r="M71" s="6">
        <v>41608</v>
      </c>
      <c r="N71" s="3">
        <v>9</v>
      </c>
      <c r="O71" s="3" t="s">
        <v>37</v>
      </c>
      <c r="P71" s="3" t="s">
        <v>23</v>
      </c>
    </row>
    <row r="72" spans="1:16" x14ac:dyDescent="0.25">
      <c r="A72" s="3" t="s">
        <v>163</v>
      </c>
      <c r="B72" s="3" t="s">
        <v>163</v>
      </c>
      <c r="C72" s="3" t="s">
        <v>263</v>
      </c>
      <c r="D72" s="4" t="s">
        <v>164</v>
      </c>
      <c r="E72" s="4" t="str">
        <f t="shared" si="1"/>
        <v>MNT00088</v>
      </c>
      <c r="F72" s="5"/>
      <c r="G72" s="3" t="s">
        <v>17</v>
      </c>
      <c r="H72" s="3" t="s">
        <v>17</v>
      </c>
      <c r="I72" s="3" t="s">
        <v>18</v>
      </c>
      <c r="J72" s="3" t="s">
        <v>19</v>
      </c>
      <c r="K72" s="3" t="s">
        <v>20</v>
      </c>
      <c r="L72" s="3" t="s">
        <v>51</v>
      </c>
      <c r="M72" s="6">
        <v>36433</v>
      </c>
      <c r="N72" s="3">
        <v>23</v>
      </c>
      <c r="O72" s="3" t="s">
        <v>26</v>
      </c>
      <c r="P72" s="3" t="s">
        <v>23</v>
      </c>
    </row>
    <row r="73" spans="1:16" x14ac:dyDescent="0.25">
      <c r="A73" s="3" t="s">
        <v>165</v>
      </c>
      <c r="B73" s="3" t="s">
        <v>165</v>
      </c>
      <c r="C73" s="3" t="s">
        <v>264</v>
      </c>
      <c r="D73" s="4" t="s">
        <v>166</v>
      </c>
      <c r="E73" s="4" t="str">
        <f t="shared" si="1"/>
        <v>MNT00089</v>
      </c>
      <c r="F73" s="5"/>
      <c r="G73" s="3" t="s">
        <v>17</v>
      </c>
      <c r="H73" s="5"/>
      <c r="I73" s="3" t="s">
        <v>18</v>
      </c>
      <c r="J73" s="3" t="s">
        <v>19</v>
      </c>
      <c r="K73" s="3" t="s">
        <v>20</v>
      </c>
      <c r="L73" s="3" t="s">
        <v>55</v>
      </c>
      <c r="M73" s="6">
        <v>36433</v>
      </c>
      <c r="N73" s="3">
        <v>23</v>
      </c>
      <c r="O73" s="3" t="s">
        <v>26</v>
      </c>
      <c r="P73" s="3" t="s">
        <v>23</v>
      </c>
    </row>
    <row r="74" spans="1:16" x14ac:dyDescent="0.25">
      <c r="A74" s="3" t="s">
        <v>167</v>
      </c>
      <c r="B74" s="3" t="s">
        <v>167</v>
      </c>
      <c r="C74" s="3" t="s">
        <v>265</v>
      </c>
      <c r="D74" s="4" t="s">
        <v>168</v>
      </c>
      <c r="E74" s="4" t="str">
        <f t="shared" si="1"/>
        <v>MNT00090</v>
      </c>
      <c r="F74" s="5"/>
      <c r="G74" s="3" t="s">
        <v>17</v>
      </c>
      <c r="H74" s="5"/>
      <c r="I74" s="3" t="s">
        <v>18</v>
      </c>
      <c r="J74" s="3" t="s">
        <v>19</v>
      </c>
      <c r="K74" s="3" t="s">
        <v>20</v>
      </c>
      <c r="L74" s="3" t="s">
        <v>55</v>
      </c>
      <c r="M74" s="6">
        <v>41729</v>
      </c>
      <c r="N74" s="3">
        <v>8</v>
      </c>
      <c r="O74" s="3" t="s">
        <v>26</v>
      </c>
      <c r="P74" s="3" t="s">
        <v>23</v>
      </c>
    </row>
    <row r="75" spans="1:16" x14ac:dyDescent="0.25">
      <c r="A75" s="3" t="s">
        <v>169</v>
      </c>
      <c r="B75" s="3" t="s">
        <v>169</v>
      </c>
      <c r="C75" s="3" t="s">
        <v>236</v>
      </c>
      <c r="D75" s="4" t="s">
        <v>170</v>
      </c>
      <c r="E75" s="4" t="str">
        <f t="shared" si="1"/>
        <v>MNT00091</v>
      </c>
      <c r="F75" s="3" t="s">
        <v>17</v>
      </c>
      <c r="G75" s="5"/>
      <c r="H75" s="3" t="s">
        <v>17</v>
      </c>
      <c r="I75" s="3" t="s">
        <v>18</v>
      </c>
      <c r="J75" s="3" t="s">
        <v>19</v>
      </c>
      <c r="K75" s="3" t="s">
        <v>20</v>
      </c>
      <c r="L75" s="3" t="s">
        <v>51</v>
      </c>
      <c r="M75" s="6">
        <v>36433</v>
      </c>
      <c r="N75" s="3">
        <v>23</v>
      </c>
      <c r="O75" s="3" t="s">
        <v>26</v>
      </c>
      <c r="P75" s="3" t="s">
        <v>48</v>
      </c>
    </row>
    <row r="76" spans="1:16" x14ac:dyDescent="0.25">
      <c r="A76" s="3" t="s">
        <v>171</v>
      </c>
      <c r="B76" s="3" t="s">
        <v>171</v>
      </c>
      <c r="C76" s="3" t="s">
        <v>237</v>
      </c>
      <c r="D76" s="4" t="s">
        <v>172</v>
      </c>
      <c r="E76" s="4" t="str">
        <f t="shared" si="1"/>
        <v>MNT00092</v>
      </c>
      <c r="F76" s="3" t="s">
        <v>17</v>
      </c>
      <c r="G76" s="5"/>
      <c r="H76" s="3" t="s">
        <v>17</v>
      </c>
      <c r="I76" s="3" t="s">
        <v>18</v>
      </c>
      <c r="J76" s="3" t="s">
        <v>19</v>
      </c>
      <c r="K76" s="3" t="s">
        <v>20</v>
      </c>
      <c r="L76" s="3" t="s">
        <v>51</v>
      </c>
      <c r="M76" s="6">
        <v>41608</v>
      </c>
      <c r="N76" s="3">
        <v>9</v>
      </c>
      <c r="O76" s="3" t="s">
        <v>37</v>
      </c>
      <c r="P76" s="3" t="s">
        <v>23</v>
      </c>
    </row>
    <row r="77" spans="1:16" x14ac:dyDescent="0.25">
      <c r="A77" s="3" t="s">
        <v>173</v>
      </c>
      <c r="B77" s="3" t="s">
        <v>173</v>
      </c>
      <c r="C77" s="3" t="s">
        <v>266</v>
      </c>
      <c r="D77" s="4" t="s">
        <v>174</v>
      </c>
      <c r="E77" s="4" t="str">
        <f t="shared" si="1"/>
        <v>MNT00093</v>
      </c>
      <c r="F77" s="3" t="s">
        <v>17</v>
      </c>
      <c r="G77" s="5"/>
      <c r="H77" s="3" t="s">
        <v>17</v>
      </c>
      <c r="I77" s="3" t="s">
        <v>18</v>
      </c>
      <c r="J77" s="3" t="s">
        <v>19</v>
      </c>
      <c r="K77" s="3" t="s">
        <v>20</v>
      </c>
      <c r="L77" s="3" t="s">
        <v>51</v>
      </c>
      <c r="M77" s="6">
        <v>36433</v>
      </c>
      <c r="N77" s="3">
        <v>23</v>
      </c>
      <c r="O77" s="3" t="s">
        <v>26</v>
      </c>
      <c r="P77" s="3" t="s">
        <v>23</v>
      </c>
    </row>
    <row r="78" spans="1:16" x14ac:dyDescent="0.25">
      <c r="A78" s="3" t="s">
        <v>175</v>
      </c>
      <c r="B78" s="3" t="s">
        <v>175</v>
      </c>
      <c r="C78" s="3" t="s">
        <v>267</v>
      </c>
      <c r="D78" s="4" t="s">
        <v>176</v>
      </c>
      <c r="E78" s="4" t="str">
        <f t="shared" si="1"/>
        <v>MNT00094</v>
      </c>
      <c r="F78" s="3" t="s">
        <v>17</v>
      </c>
      <c r="G78" s="3" t="s">
        <v>17</v>
      </c>
      <c r="H78" s="3" t="s">
        <v>17</v>
      </c>
      <c r="I78" s="3" t="s">
        <v>18</v>
      </c>
      <c r="J78" s="3" t="s">
        <v>19</v>
      </c>
      <c r="K78" s="3" t="s">
        <v>20</v>
      </c>
      <c r="L78" s="3" t="s">
        <v>51</v>
      </c>
      <c r="M78" s="6">
        <v>41274</v>
      </c>
      <c r="N78" s="3">
        <v>10</v>
      </c>
      <c r="O78" s="3" t="s">
        <v>37</v>
      </c>
      <c r="P78" s="3" t="s">
        <v>23</v>
      </c>
    </row>
    <row r="79" spans="1:16" x14ac:dyDescent="0.25">
      <c r="A79" s="3" t="s">
        <v>177</v>
      </c>
      <c r="B79" s="3" t="s">
        <v>177</v>
      </c>
      <c r="C79" s="3" t="s">
        <v>269</v>
      </c>
      <c r="D79" s="4" t="s">
        <v>178</v>
      </c>
      <c r="E79" s="4" t="str">
        <f t="shared" si="1"/>
        <v>MNT00095</v>
      </c>
      <c r="F79" s="3" t="s">
        <v>17</v>
      </c>
      <c r="G79" s="3" t="s">
        <v>17</v>
      </c>
      <c r="H79" s="3" t="s">
        <v>17</v>
      </c>
      <c r="I79" s="3" t="s">
        <v>18</v>
      </c>
      <c r="J79" s="3" t="s">
        <v>19</v>
      </c>
      <c r="K79" s="3" t="s">
        <v>20</v>
      </c>
      <c r="L79" s="3" t="s">
        <v>55</v>
      </c>
      <c r="M79" s="6">
        <v>37711</v>
      </c>
      <c r="N79" s="3">
        <v>19</v>
      </c>
      <c r="O79" s="3" t="s">
        <v>56</v>
      </c>
      <c r="P79" s="3" t="s">
        <v>23</v>
      </c>
    </row>
    <row r="80" spans="1:16" x14ac:dyDescent="0.25">
      <c r="A80" s="3" t="s">
        <v>179</v>
      </c>
      <c r="B80" s="3" t="s">
        <v>179</v>
      </c>
      <c r="C80" s="3" t="s">
        <v>269</v>
      </c>
      <c r="D80" s="4" t="s">
        <v>180</v>
      </c>
      <c r="E80" s="4" t="str">
        <f t="shared" si="1"/>
        <v>MNT00096</v>
      </c>
      <c r="F80" s="3" t="s">
        <v>17</v>
      </c>
      <c r="G80" s="3" t="s">
        <v>17</v>
      </c>
      <c r="H80" s="3" t="s">
        <v>17</v>
      </c>
      <c r="I80" s="3" t="s">
        <v>18</v>
      </c>
      <c r="J80" s="3" t="s">
        <v>19</v>
      </c>
      <c r="K80" s="3" t="s">
        <v>20</v>
      </c>
      <c r="L80" s="3" t="s">
        <v>55</v>
      </c>
      <c r="M80" s="6">
        <v>37711</v>
      </c>
      <c r="N80" s="3">
        <v>19</v>
      </c>
      <c r="O80" s="3" t="s">
        <v>56</v>
      </c>
      <c r="P80" s="3" t="s">
        <v>23</v>
      </c>
    </row>
    <row r="81" spans="1:16" x14ac:dyDescent="0.25">
      <c r="A81" s="3" t="s">
        <v>181</v>
      </c>
      <c r="B81" s="3" t="s">
        <v>181</v>
      </c>
      <c r="C81" s="3" t="s">
        <v>269</v>
      </c>
      <c r="D81" s="4" t="s">
        <v>182</v>
      </c>
      <c r="E81" s="4" t="str">
        <f t="shared" si="1"/>
        <v>MNT00097</v>
      </c>
      <c r="F81" s="3" t="s">
        <v>17</v>
      </c>
      <c r="G81" s="3" t="s">
        <v>17</v>
      </c>
      <c r="H81" s="3" t="s">
        <v>17</v>
      </c>
      <c r="I81" s="3" t="s">
        <v>18</v>
      </c>
      <c r="J81" s="3" t="s">
        <v>19</v>
      </c>
      <c r="K81" s="3" t="s">
        <v>20</v>
      </c>
      <c r="L81" s="3" t="s">
        <v>55</v>
      </c>
      <c r="M81" s="6">
        <v>37711</v>
      </c>
      <c r="N81" s="3">
        <v>19</v>
      </c>
      <c r="O81" s="3" t="s">
        <v>56</v>
      </c>
      <c r="P81" s="3" t="s">
        <v>23</v>
      </c>
    </row>
    <row r="82" spans="1:16" x14ac:dyDescent="0.25">
      <c r="A82" s="3" t="s">
        <v>183</v>
      </c>
      <c r="B82" s="3" t="s">
        <v>183</v>
      </c>
      <c r="C82" s="3" t="s">
        <v>270</v>
      </c>
      <c r="D82" s="4" t="s">
        <v>184</v>
      </c>
      <c r="E82" s="4" t="str">
        <f t="shared" si="1"/>
        <v>MNT00098</v>
      </c>
      <c r="F82" s="5"/>
      <c r="G82" s="5"/>
      <c r="H82" s="3" t="s">
        <v>17</v>
      </c>
      <c r="I82" s="3" t="s">
        <v>18</v>
      </c>
      <c r="J82" s="3" t="s">
        <v>19</v>
      </c>
      <c r="K82" s="3" t="s">
        <v>20</v>
      </c>
      <c r="L82" s="3" t="s">
        <v>51</v>
      </c>
      <c r="M82" s="6">
        <v>36433</v>
      </c>
      <c r="N82" s="3">
        <v>23</v>
      </c>
      <c r="O82" s="3" t="s">
        <v>26</v>
      </c>
      <c r="P82" s="3" t="s">
        <v>48</v>
      </c>
    </row>
    <row r="83" spans="1:16" x14ac:dyDescent="0.25">
      <c r="A83" s="3" t="s">
        <v>185</v>
      </c>
      <c r="B83" s="3" t="s">
        <v>185</v>
      </c>
      <c r="C83" s="3" t="s">
        <v>271</v>
      </c>
      <c r="D83" s="4" t="s">
        <v>186</v>
      </c>
      <c r="E83" s="4" t="str">
        <f t="shared" si="1"/>
        <v>MNT00099</v>
      </c>
      <c r="F83" s="5"/>
      <c r="G83" s="5"/>
      <c r="H83" s="3" t="s">
        <v>17</v>
      </c>
      <c r="I83" s="3" t="s">
        <v>18</v>
      </c>
      <c r="J83" s="3" t="s">
        <v>19</v>
      </c>
      <c r="K83" s="3" t="s">
        <v>20</v>
      </c>
      <c r="L83" s="3" t="s">
        <v>51</v>
      </c>
      <c r="M83" s="6">
        <v>36433</v>
      </c>
      <c r="N83" s="3">
        <v>23</v>
      </c>
      <c r="O83" s="3" t="s">
        <v>26</v>
      </c>
      <c r="P83" s="3" t="s">
        <v>48</v>
      </c>
    </row>
    <row r="84" spans="1:16" x14ac:dyDescent="0.25">
      <c r="A84" s="3" t="s">
        <v>187</v>
      </c>
      <c r="B84" s="3" t="s">
        <v>187</v>
      </c>
      <c r="C84" s="3" t="s">
        <v>272</v>
      </c>
      <c r="D84" s="4" t="s">
        <v>188</v>
      </c>
      <c r="E84" s="4" t="str">
        <f t="shared" si="1"/>
        <v>MNT00100</v>
      </c>
      <c r="F84" s="5"/>
      <c r="G84" s="5"/>
      <c r="H84" s="5"/>
      <c r="I84" s="3" t="s">
        <v>18</v>
      </c>
      <c r="J84" s="3" t="s">
        <v>189</v>
      </c>
      <c r="K84" s="3" t="s">
        <v>20</v>
      </c>
      <c r="L84" s="3" t="s">
        <v>51</v>
      </c>
      <c r="M84" s="6">
        <v>41274</v>
      </c>
      <c r="N84" s="3">
        <v>10</v>
      </c>
      <c r="O84" s="3" t="s">
        <v>22</v>
      </c>
      <c r="P84" s="3" t="s">
        <v>48</v>
      </c>
    </row>
    <row r="85" spans="1:16" x14ac:dyDescent="0.25">
      <c r="A85" s="3" t="s">
        <v>190</v>
      </c>
      <c r="B85" s="3" t="s">
        <v>190</v>
      </c>
      <c r="C85" s="3" t="s">
        <v>273</v>
      </c>
      <c r="D85" s="4" t="s">
        <v>191</v>
      </c>
      <c r="E85" s="4" t="str">
        <f t="shared" si="1"/>
        <v>MNT00102</v>
      </c>
      <c r="F85" s="5"/>
      <c r="G85" s="3" t="s">
        <v>17</v>
      </c>
      <c r="H85" s="3" t="s">
        <v>17</v>
      </c>
      <c r="I85" s="3" t="s">
        <v>108</v>
      </c>
      <c r="J85" s="3" t="s">
        <v>19</v>
      </c>
      <c r="K85" s="3" t="s">
        <v>20</v>
      </c>
      <c r="L85" s="3" t="s">
        <v>51</v>
      </c>
      <c r="M85" s="6">
        <v>42216</v>
      </c>
      <c r="N85" s="3">
        <v>7</v>
      </c>
      <c r="O85" s="3" t="s">
        <v>26</v>
      </c>
      <c r="P85" s="3" t="s">
        <v>23</v>
      </c>
    </row>
    <row r="86" spans="1:16" x14ac:dyDescent="0.25">
      <c r="A86" s="3" t="s">
        <v>192</v>
      </c>
      <c r="B86" s="3" t="s">
        <v>192</v>
      </c>
      <c r="C86" s="3" t="s">
        <v>274</v>
      </c>
      <c r="D86" s="4" t="s">
        <v>193</v>
      </c>
      <c r="E86" s="4" t="str">
        <f t="shared" si="1"/>
        <v>MNT00103</v>
      </c>
      <c r="F86" s="5"/>
      <c r="G86" s="5"/>
      <c r="H86" s="3" t="s">
        <v>17</v>
      </c>
      <c r="I86" s="3" t="s">
        <v>18</v>
      </c>
      <c r="J86" s="3" t="s">
        <v>19</v>
      </c>
      <c r="K86" s="3" t="s">
        <v>20</v>
      </c>
      <c r="L86" s="3" t="s">
        <v>55</v>
      </c>
      <c r="M86" s="6">
        <v>36707</v>
      </c>
      <c r="N86" s="3">
        <v>22</v>
      </c>
      <c r="O86" s="3" t="s">
        <v>26</v>
      </c>
      <c r="P86" s="3" t="s">
        <v>23</v>
      </c>
    </row>
    <row r="87" spans="1:16" x14ac:dyDescent="0.25">
      <c r="A87" s="3" t="s">
        <v>194</v>
      </c>
      <c r="B87" s="3" t="s">
        <v>194</v>
      </c>
      <c r="C87" s="3" t="s">
        <v>238</v>
      </c>
      <c r="D87" s="4" t="s">
        <v>195</v>
      </c>
      <c r="E87" s="4" t="str">
        <f t="shared" si="1"/>
        <v>MNT00104</v>
      </c>
      <c r="F87" s="3" t="s">
        <v>17</v>
      </c>
      <c r="G87" s="3" t="s">
        <v>17</v>
      </c>
      <c r="H87" s="3" t="s">
        <v>17</v>
      </c>
      <c r="I87" s="3" t="s">
        <v>18</v>
      </c>
      <c r="J87" s="3" t="s">
        <v>19</v>
      </c>
      <c r="K87" s="3" t="s">
        <v>20</v>
      </c>
      <c r="L87" s="3" t="s">
        <v>21</v>
      </c>
      <c r="M87" s="6">
        <v>36433</v>
      </c>
      <c r="N87" s="3">
        <v>23</v>
      </c>
      <c r="O87" s="3" t="s">
        <v>26</v>
      </c>
      <c r="P87" s="3" t="s">
        <v>23</v>
      </c>
    </row>
    <row r="88" spans="1:16" x14ac:dyDescent="0.25">
      <c r="A88" s="3" t="s">
        <v>196</v>
      </c>
      <c r="B88" s="3" t="s">
        <v>196</v>
      </c>
      <c r="C88" s="3" t="s">
        <v>275</v>
      </c>
      <c r="D88" s="4" t="s">
        <v>197</v>
      </c>
      <c r="E88" s="4" t="str">
        <f t="shared" si="1"/>
        <v>MNT00105</v>
      </c>
      <c r="F88" s="3" t="s">
        <v>17</v>
      </c>
      <c r="G88" s="5"/>
      <c r="H88" s="3" t="s">
        <v>17</v>
      </c>
      <c r="I88" s="3" t="s">
        <v>18</v>
      </c>
      <c r="J88" s="3" t="s">
        <v>19</v>
      </c>
      <c r="K88" s="3" t="s">
        <v>20</v>
      </c>
      <c r="L88" s="3" t="s">
        <v>21</v>
      </c>
      <c r="M88" s="6">
        <v>41517</v>
      </c>
      <c r="N88" s="3">
        <v>9</v>
      </c>
      <c r="O88" s="3" t="s">
        <v>22</v>
      </c>
      <c r="P88" s="3" t="s">
        <v>23</v>
      </c>
    </row>
    <row r="89" spans="1:16" x14ac:dyDescent="0.25">
      <c r="A89" s="3" t="s">
        <v>198</v>
      </c>
      <c r="B89" s="3" t="s">
        <v>198</v>
      </c>
      <c r="C89" s="3"/>
      <c r="D89" s="4" t="s">
        <v>199</v>
      </c>
      <c r="E89" s="4" t="str">
        <f t="shared" si="1"/>
        <v>MNT00106</v>
      </c>
      <c r="F89" s="3" t="s">
        <v>17</v>
      </c>
      <c r="G89" s="3" t="s">
        <v>17</v>
      </c>
      <c r="H89" s="3" t="s">
        <v>17</v>
      </c>
      <c r="I89" s="3" t="s">
        <v>18</v>
      </c>
      <c r="J89" s="3" t="s">
        <v>19</v>
      </c>
      <c r="K89" s="3" t="s">
        <v>20</v>
      </c>
      <c r="L89" s="3" t="s">
        <v>21</v>
      </c>
      <c r="M89" s="6">
        <v>39752</v>
      </c>
      <c r="N89" s="3">
        <v>14</v>
      </c>
      <c r="O89" s="3" t="s">
        <v>26</v>
      </c>
      <c r="P89" s="3" t="s">
        <v>23</v>
      </c>
    </row>
    <row r="90" spans="1:16" x14ac:dyDescent="0.25">
      <c r="A90" s="3" t="s">
        <v>200</v>
      </c>
      <c r="B90" s="3" t="s">
        <v>200</v>
      </c>
      <c r="C90" s="3" t="s">
        <v>230</v>
      </c>
      <c r="D90" s="4" t="s">
        <v>201</v>
      </c>
      <c r="E90" s="4" t="str">
        <f t="shared" si="1"/>
        <v>MNT00481</v>
      </c>
      <c r="F90" s="5"/>
      <c r="G90" s="5"/>
      <c r="H90" s="3" t="s">
        <v>17</v>
      </c>
      <c r="I90" s="3" t="s">
        <v>18</v>
      </c>
      <c r="J90" s="3" t="s">
        <v>19</v>
      </c>
      <c r="K90" s="3" t="s">
        <v>20</v>
      </c>
      <c r="L90" s="3" t="s">
        <v>21</v>
      </c>
      <c r="M90" s="6">
        <v>43189</v>
      </c>
      <c r="N90" s="3">
        <v>4</v>
      </c>
      <c r="O90" s="3" t="s">
        <v>26</v>
      </c>
      <c r="P90" s="3" t="s">
        <v>23</v>
      </c>
    </row>
    <row r="91" spans="1:16" x14ac:dyDescent="0.25">
      <c r="A91" s="3" t="s">
        <v>202</v>
      </c>
      <c r="B91" s="3" t="s">
        <v>202</v>
      </c>
      <c r="C91" s="3" t="s">
        <v>249</v>
      </c>
      <c r="D91" s="4" t="s">
        <v>203</v>
      </c>
      <c r="E91" s="4" t="str">
        <f t="shared" si="1"/>
        <v>MNT00499</v>
      </c>
      <c r="F91" s="5"/>
      <c r="G91" s="5"/>
      <c r="H91" s="3" t="s">
        <v>17</v>
      </c>
      <c r="I91" s="3" t="s">
        <v>108</v>
      </c>
      <c r="J91" s="3" t="s">
        <v>204</v>
      </c>
      <c r="K91" s="3" t="s">
        <v>20</v>
      </c>
      <c r="L91" s="3" t="s">
        <v>51</v>
      </c>
      <c r="M91" s="6">
        <v>43863</v>
      </c>
      <c r="N91" s="3">
        <v>2</v>
      </c>
      <c r="O91" s="3" t="s">
        <v>26</v>
      </c>
      <c r="P91" s="3" t="s">
        <v>48</v>
      </c>
    </row>
    <row r="92" spans="1:16" x14ac:dyDescent="0.25">
      <c r="A92" s="3" t="s">
        <v>205</v>
      </c>
      <c r="B92" s="3" t="s">
        <v>205</v>
      </c>
      <c r="C92" s="3" t="s">
        <v>230</v>
      </c>
      <c r="D92" s="4" t="s">
        <v>206</v>
      </c>
      <c r="E92" s="4" t="str">
        <f t="shared" si="1"/>
        <v>MNT00693</v>
      </c>
      <c r="F92" s="5"/>
      <c r="G92" s="5"/>
      <c r="H92" s="5"/>
      <c r="I92" s="3" t="s">
        <v>18</v>
      </c>
      <c r="J92" s="3" t="s">
        <v>204</v>
      </c>
      <c r="K92" s="3" t="s">
        <v>20</v>
      </c>
      <c r="L92" s="3" t="s">
        <v>55</v>
      </c>
      <c r="M92" s="6">
        <v>43921</v>
      </c>
      <c r="N92" s="3">
        <v>2</v>
      </c>
      <c r="O92" s="3" t="s">
        <v>26</v>
      </c>
      <c r="P92" s="3" t="s">
        <v>23</v>
      </c>
    </row>
    <row r="93" spans="1:16" x14ac:dyDescent="0.25">
      <c r="A93" s="3" t="s">
        <v>207</v>
      </c>
      <c r="B93" s="3" t="s">
        <v>207</v>
      </c>
      <c r="C93" s="4" t="s">
        <v>276</v>
      </c>
      <c r="D93" s="4" t="s">
        <v>208</v>
      </c>
      <c r="E93" s="4" t="str">
        <f t="shared" si="1"/>
        <v>MNT01616</v>
      </c>
      <c r="F93" s="5"/>
      <c r="G93" s="5"/>
      <c r="H93" s="5"/>
      <c r="I93" s="3" t="s">
        <v>108</v>
      </c>
      <c r="J93" s="3" t="s">
        <v>204</v>
      </c>
      <c r="K93" s="3" t="s">
        <v>20</v>
      </c>
      <c r="L93" s="3" t="s">
        <v>51</v>
      </c>
      <c r="M93" s="6">
        <v>43863</v>
      </c>
      <c r="N93" s="3">
        <v>2</v>
      </c>
      <c r="O93" s="3" t="s">
        <v>22</v>
      </c>
      <c r="P93" s="3" t="s">
        <v>48</v>
      </c>
    </row>
    <row r="94" spans="1:16" x14ac:dyDescent="0.25">
      <c r="A94" s="3" t="s">
        <v>209</v>
      </c>
      <c r="B94" s="3" t="s">
        <v>209</v>
      </c>
      <c r="C94" s="3" t="s">
        <v>250</v>
      </c>
      <c r="D94" s="4" t="s">
        <v>210</v>
      </c>
      <c r="E94" s="4" t="str">
        <f t="shared" si="1"/>
        <v>MNT01638</v>
      </c>
      <c r="F94" s="3" t="s">
        <v>17</v>
      </c>
      <c r="G94" s="3" t="s">
        <v>17</v>
      </c>
      <c r="H94" s="3" t="s">
        <v>17</v>
      </c>
      <c r="I94" s="3" t="s">
        <v>108</v>
      </c>
      <c r="J94" s="3" t="s">
        <v>19</v>
      </c>
      <c r="K94" s="3" t="s">
        <v>20</v>
      </c>
      <c r="L94" s="3" t="s">
        <v>55</v>
      </c>
      <c r="M94" s="6">
        <v>43870</v>
      </c>
      <c r="N94" s="3">
        <v>2</v>
      </c>
      <c r="O94" s="3" t="s">
        <v>37</v>
      </c>
      <c r="P94" s="3" t="s">
        <v>23</v>
      </c>
    </row>
    <row r="95" spans="1:16" x14ac:dyDescent="0.25">
      <c r="A95" s="3" t="s">
        <v>211</v>
      </c>
      <c r="B95" s="3" t="s">
        <v>211</v>
      </c>
      <c r="C95" s="3" t="s">
        <v>266</v>
      </c>
      <c r="D95" s="4" t="s">
        <v>212</v>
      </c>
      <c r="E95" s="4" t="str">
        <f t="shared" si="1"/>
        <v>MNT01640</v>
      </c>
      <c r="F95" s="3" t="s">
        <v>17</v>
      </c>
      <c r="G95" s="3" t="s">
        <v>17</v>
      </c>
      <c r="H95" s="3" t="s">
        <v>17</v>
      </c>
      <c r="I95" s="3" t="s">
        <v>18</v>
      </c>
      <c r="J95" s="3" t="s">
        <v>19</v>
      </c>
      <c r="K95" s="3" t="s">
        <v>20</v>
      </c>
      <c r="L95" s="3" t="s">
        <v>55</v>
      </c>
      <c r="M95" s="6">
        <v>44198</v>
      </c>
      <c r="N95" s="3">
        <v>1</v>
      </c>
      <c r="O95" s="3" t="s">
        <v>26</v>
      </c>
      <c r="P95" s="3" t="s">
        <v>23</v>
      </c>
    </row>
    <row r="96" spans="1:16" x14ac:dyDescent="0.25">
      <c r="A96" s="3" t="s">
        <v>213</v>
      </c>
      <c r="B96" s="3" t="s">
        <v>213</v>
      </c>
      <c r="C96" s="3" t="s">
        <v>277</v>
      </c>
      <c r="D96" s="4" t="s">
        <v>214</v>
      </c>
      <c r="E96" s="4" t="str">
        <f t="shared" si="1"/>
        <v>MNT01645</v>
      </c>
      <c r="F96" s="3" t="s">
        <v>17</v>
      </c>
      <c r="G96" s="3" t="s">
        <v>17</v>
      </c>
      <c r="H96" s="3" t="s">
        <v>17</v>
      </c>
      <c r="I96" s="3" t="s">
        <v>18</v>
      </c>
      <c r="J96" s="3" t="s">
        <v>204</v>
      </c>
      <c r="K96" s="3" t="s">
        <v>20</v>
      </c>
      <c r="L96" s="3" t="s">
        <v>55</v>
      </c>
      <c r="M96" s="6">
        <v>44742</v>
      </c>
      <c r="N96" s="3">
        <v>0</v>
      </c>
      <c r="O96" s="3" t="s">
        <v>56</v>
      </c>
      <c r="P96" s="3" t="s">
        <v>23</v>
      </c>
    </row>
    <row r="97" spans="1:16" x14ac:dyDescent="0.25">
      <c r="A97" s="3" t="s">
        <v>215</v>
      </c>
      <c r="B97" s="3" t="s">
        <v>215</v>
      </c>
      <c r="C97" s="3" t="s">
        <v>278</v>
      </c>
      <c r="D97" s="4" t="s">
        <v>216</v>
      </c>
      <c r="E97" s="4" t="str">
        <f t="shared" si="1"/>
        <v>MNT01646</v>
      </c>
      <c r="F97" s="3" t="s">
        <v>17</v>
      </c>
      <c r="G97" s="3" t="s">
        <v>17</v>
      </c>
      <c r="H97" s="3" t="s">
        <v>17</v>
      </c>
      <c r="I97" s="3" t="s">
        <v>18</v>
      </c>
      <c r="J97" s="3" t="s">
        <v>204</v>
      </c>
      <c r="K97" s="3" t="s">
        <v>20</v>
      </c>
      <c r="L97" s="3" t="s">
        <v>55</v>
      </c>
      <c r="M97" s="6">
        <v>44684</v>
      </c>
      <c r="N97" s="3">
        <v>0</v>
      </c>
      <c r="O97" s="3" t="s">
        <v>26</v>
      </c>
      <c r="P97" s="3" t="s">
        <v>23</v>
      </c>
    </row>
    <row r="98" spans="1:16" x14ac:dyDescent="0.25">
      <c r="A98" s="3" t="s">
        <v>217</v>
      </c>
      <c r="B98" s="3" t="s">
        <v>217</v>
      </c>
      <c r="C98" s="3" t="s">
        <v>279</v>
      </c>
      <c r="D98" s="4" t="s">
        <v>218</v>
      </c>
      <c r="E98" s="4" t="str">
        <f t="shared" si="1"/>
        <v>MNT01647</v>
      </c>
      <c r="F98" s="3" t="s">
        <v>17</v>
      </c>
      <c r="G98" s="3" t="s">
        <v>17</v>
      </c>
      <c r="H98" s="3" t="s">
        <v>17</v>
      </c>
      <c r="I98" s="3" t="s">
        <v>18</v>
      </c>
      <c r="J98" s="3" t="s">
        <v>204</v>
      </c>
      <c r="K98" s="3" t="s">
        <v>20</v>
      </c>
      <c r="L98" s="3" t="s">
        <v>55</v>
      </c>
      <c r="M98" s="6">
        <v>44684</v>
      </c>
      <c r="N98" s="3">
        <v>0</v>
      </c>
      <c r="O98" s="3" t="s">
        <v>26</v>
      </c>
      <c r="P98" s="3" t="s">
        <v>23</v>
      </c>
    </row>
  </sheetData>
  <mergeCells count="8">
    <mergeCell ref="N1:N2"/>
    <mergeCell ref="O1:O2"/>
    <mergeCell ref="P1:P2"/>
    <mergeCell ref="K1:K2"/>
    <mergeCell ref="I1:I2"/>
    <mergeCell ref="J1:J2"/>
    <mergeCell ref="L1:L2"/>
    <mergeCell ref="M1:M2"/>
  </mergeCells>
  <hyperlinks>
    <hyperlink ref="G3" r:id="rId1" tooltip="Download" display="D:\uploads\MNT_MANUAL_BOOK\MNT00001-M.pdf" xr:uid="{00000000-0004-0000-0100-000000000000}"/>
    <hyperlink ref="G4" r:id="rId2" tooltip="Download" display="D:\uploads\MNT_MANUAL_BOOK\MNT00004-M.pdf" xr:uid="{00000000-0004-0000-0100-000001000000}"/>
    <hyperlink ref="G5" r:id="rId3" tooltip="Download" display="D:\uploads\MNT_MANUAL_BOOK\MNT00005-M.pdf" xr:uid="{00000000-0004-0000-0100-000002000000}"/>
    <hyperlink ref="G6" r:id="rId4" tooltip="Download" display="D:\uploads\MNT_MANUAL_BOOK\MNT00006-M.pdf" xr:uid="{00000000-0004-0000-0100-000003000000}"/>
    <hyperlink ref="G7" r:id="rId5" tooltip="Download" display="D:\uploads\MNT_MANUAL_BOOK\MNT00007-M.pdf" xr:uid="{00000000-0004-0000-0100-000004000000}"/>
    <hyperlink ref="G8" r:id="rId6" tooltip="Download" display="D:\uploads\MNT_MANUAL_BOOK\MNT00008-M.pdf" xr:uid="{00000000-0004-0000-0100-000005000000}"/>
    <hyperlink ref="G9" r:id="rId7" tooltip="Download" display="D:\uploads\MNT_MANUAL_BOOK\MNT00012-M.pdf" xr:uid="{00000000-0004-0000-0100-000006000000}"/>
    <hyperlink ref="G10" r:id="rId8" tooltip="Download" display="D:\uploads\MNT_MANUAL_BOOK\MNT00013-M.pdf" xr:uid="{00000000-0004-0000-0100-000007000000}"/>
    <hyperlink ref="G11" r:id="rId9" tooltip="Download" display="D:\uploads\MNT_MANUAL_BOOK\MNT00014-M.pdf" xr:uid="{00000000-0004-0000-0100-000008000000}"/>
    <hyperlink ref="G12" r:id="rId10" tooltip="Download" display="D:\uploads\MNT_MANUAL_BOOK\MNT00015-M.pdf" xr:uid="{00000000-0004-0000-0100-000009000000}"/>
    <hyperlink ref="G13" r:id="rId11" tooltip="Download" display="D:\uploads\MNT_MANUAL_BOOK\MNT00016-M.pdf" xr:uid="{00000000-0004-0000-0100-00000A000000}"/>
    <hyperlink ref="F14" r:id="rId12" tooltip="Download" display="D:\uploads\MNT_MANUAL_BOOK\MNT00017-E.pdf" xr:uid="{00000000-0004-0000-0100-00000B000000}"/>
    <hyperlink ref="G14" r:id="rId13" tooltip="Download" display="D:\uploads\MNT_MANUAL_BOOK\MNT00017-M.pdf" xr:uid="{00000000-0004-0000-0100-00000C000000}"/>
    <hyperlink ref="G15" r:id="rId14" tooltip="Download" display="D:\uploads\MNT_MANUAL_BOOK\MNT00018-M.pdf" xr:uid="{00000000-0004-0000-0100-00000D000000}"/>
    <hyperlink ref="F16" r:id="rId15" tooltip="Download" display="D:\uploads\MNT_MANUAL_BOOK\MNT00019-E.pdf" xr:uid="{00000000-0004-0000-0100-00000E000000}"/>
    <hyperlink ref="G16" r:id="rId16" tooltip="Download" display="D:\uploads\MNT_MANUAL_BOOK\MNT00019-M.pdf" xr:uid="{00000000-0004-0000-0100-00000F000000}"/>
    <hyperlink ref="F18" r:id="rId17" tooltip="Download" display="D:\uploads\MNT_MANUAL_BOOK\MNT00021-E.pdf" xr:uid="{00000000-0004-0000-0100-000010000000}"/>
    <hyperlink ref="G18" r:id="rId18" tooltip="Download" display="D:\uploads\MNT_MANUAL_BOOK\MNT00021-M.pdf" xr:uid="{00000000-0004-0000-0100-000011000000}"/>
    <hyperlink ref="H18" r:id="rId19" tooltip="Download" display="D:\uploads\MNT_MANUAL_BOOK\MNT00021-S.pdf" xr:uid="{00000000-0004-0000-0100-000012000000}"/>
    <hyperlink ref="F19" r:id="rId20" tooltip="Download" display="D:\uploads\MNT_MANUAL_BOOK\MNT00022-E.pdf" xr:uid="{00000000-0004-0000-0100-000013000000}"/>
    <hyperlink ref="G19" r:id="rId21" tooltip="Download" display="D:\uploads\MNT_MANUAL_BOOK\MNT00022-M.pdf" xr:uid="{00000000-0004-0000-0100-000014000000}"/>
    <hyperlink ref="H19" r:id="rId22" tooltip="Download" display="D:\uploads\MNT_MANUAL_BOOK\MNT00022-S.pdf" xr:uid="{00000000-0004-0000-0100-000015000000}"/>
    <hyperlink ref="F20" r:id="rId23" tooltip="Download" display="D:\uploads\MNT_MANUAL_BOOK\MNT00023-E.pdf" xr:uid="{00000000-0004-0000-0100-000016000000}"/>
    <hyperlink ref="G20" r:id="rId24" tooltip="Download" display="D:\uploads\MNT_MANUAL_BOOK\MNT00023-M.pdf" xr:uid="{00000000-0004-0000-0100-000017000000}"/>
    <hyperlink ref="H20" r:id="rId25" tooltip="Download" display="D:\uploads\MNT_MANUAL_BOOK\MNT00023-S.pdf" xr:uid="{00000000-0004-0000-0100-000018000000}"/>
    <hyperlink ref="G21" r:id="rId26" tooltip="Download" display="D:\uploads\MNT_MANUAL_BOOK\MNT00024-M.pdf" xr:uid="{00000000-0004-0000-0100-000019000000}"/>
    <hyperlink ref="G22" r:id="rId27" tooltip="Download" display="D:\uploads\MNT_MANUAL_BOOK\MNT00025-M.pdf" xr:uid="{00000000-0004-0000-0100-00001A000000}"/>
    <hyperlink ref="G23" r:id="rId28" tooltip="Download" display="D:\uploads\MNT_MANUAL_BOOK\MNT00026-M.pdf" xr:uid="{00000000-0004-0000-0100-00001B000000}"/>
    <hyperlink ref="G24" r:id="rId29" tooltip="Download" display="D:\uploads\MNT_MANUAL_BOOK\MNT00027-M.pdf" xr:uid="{00000000-0004-0000-0100-00001C000000}"/>
    <hyperlink ref="G25" r:id="rId30" tooltip="Download" display="D:\uploads\MNT_MANUAL_BOOK\MNT00028-M.pdf" xr:uid="{00000000-0004-0000-0100-00001D000000}"/>
    <hyperlink ref="G26" r:id="rId31" tooltip="Download" display="D:\uploads\MNT_MANUAL_BOOK\MNT00029-M.pdf" xr:uid="{00000000-0004-0000-0100-00001E000000}"/>
    <hyperlink ref="G27" r:id="rId32" tooltip="Download" display="D:\uploads\MNT_MANUAL_BOOK\MNT00030-M.pdf" xr:uid="{00000000-0004-0000-0100-00001F000000}"/>
    <hyperlink ref="G28" r:id="rId33" tooltip="Download" display="D:\uploads\MNT_MANUAL_BOOK\MNT00032-M.pdf" xr:uid="{00000000-0004-0000-0100-000020000000}"/>
    <hyperlink ref="G29" r:id="rId34" tooltip="Download" display="D:\uploads\MNT_MANUAL_BOOK\MNT00033-M.pdf" xr:uid="{00000000-0004-0000-0100-000021000000}"/>
    <hyperlink ref="G30" r:id="rId35" tooltip="Download" display="D:\uploads\MNT_MANUAL_BOOK\MNT00034-M.pdf" xr:uid="{00000000-0004-0000-0100-000022000000}"/>
    <hyperlink ref="G31" r:id="rId36" tooltip="Download" display="D:\uploads\MNT_MANUAL_BOOK\MNT00038-M.pdf" xr:uid="{00000000-0004-0000-0100-000023000000}"/>
    <hyperlink ref="G32" r:id="rId37" tooltip="Download" display="D:\uploads\MNT_MANUAL_BOOK\MNT00039-M.pdf" xr:uid="{00000000-0004-0000-0100-000024000000}"/>
    <hyperlink ref="G33" r:id="rId38" tooltip="Download" display="D:\uploads\MNT_MANUAL_BOOK\MNT00040-M.pdf" xr:uid="{00000000-0004-0000-0100-000025000000}"/>
    <hyperlink ref="G34" r:id="rId39" tooltip="Download" display="D:\uploads\MNT_MANUAL_BOOK\MNT00041-M.pdf" xr:uid="{00000000-0004-0000-0100-000026000000}"/>
    <hyperlink ref="G35" r:id="rId40" tooltip="Download" display="D:\uploads\MNT_MANUAL_BOOK\MNT00042-M.pdf" xr:uid="{00000000-0004-0000-0100-000027000000}"/>
    <hyperlink ref="G36" r:id="rId41" tooltip="Download" display="D:\uploads\MNT_MANUAL_BOOK\MNT00043-M.pdf" xr:uid="{00000000-0004-0000-0100-000028000000}"/>
    <hyperlink ref="G37" r:id="rId42" tooltip="Download" display="D:\uploads\MNT_MANUAL_BOOK\MNT00044-M.pdf" xr:uid="{00000000-0004-0000-0100-000029000000}"/>
    <hyperlink ref="G38" r:id="rId43" tooltip="Download" display="D:\uploads\MNT_MANUAL_BOOK\MNT00045-M.pdf" xr:uid="{00000000-0004-0000-0100-00002A000000}"/>
    <hyperlink ref="G39" r:id="rId44" tooltip="Download" display="D:\uploads\MNT_MANUAL_BOOK\MNT00046-M.pdf" xr:uid="{00000000-0004-0000-0100-00002B000000}"/>
    <hyperlink ref="G40" r:id="rId45" tooltip="Download" display="D:\uploads\MNT_MANUAL_BOOK\MNT00047-M.pdf" xr:uid="{00000000-0004-0000-0100-00002C000000}"/>
    <hyperlink ref="G41" r:id="rId46" tooltip="Download" display="D:\uploads\MNT_MANUAL_BOOK\MNT00048-M.pdf" xr:uid="{00000000-0004-0000-0100-00002D000000}"/>
    <hyperlink ref="F42" r:id="rId47" tooltip="Download" display="D:\uploads\MNT_MANUAL_BOOK\MNT00052-E.pdf" xr:uid="{00000000-0004-0000-0100-00002E000000}"/>
    <hyperlink ref="G42" r:id="rId48" tooltip="Download" display="D:\uploads\MNT_MANUAL_BOOK\MNT00052-M.pdf" xr:uid="{00000000-0004-0000-0100-00002F000000}"/>
    <hyperlink ref="F43" r:id="rId49" tooltip="Download" display="D:\uploads\MNT_MANUAL_BOOK\MNT00053-E.pdf" xr:uid="{00000000-0004-0000-0100-000030000000}"/>
    <hyperlink ref="G43" r:id="rId50" tooltip="Download" display="D:\uploads\MNT_MANUAL_BOOK\MNT00053-M.pdf" xr:uid="{00000000-0004-0000-0100-000031000000}"/>
    <hyperlink ref="F44" r:id="rId51" tooltip="Download" display="D:\uploads\MNT_MANUAL_BOOK\MNT00054-E.pdf" xr:uid="{00000000-0004-0000-0100-000032000000}"/>
    <hyperlink ref="G44" r:id="rId52" tooltip="Download" display="D:\uploads\MNT_MANUAL_BOOK\MNT00054-M.pdf" xr:uid="{00000000-0004-0000-0100-000033000000}"/>
    <hyperlink ref="F45" r:id="rId53" tooltip="Download" display="D:\uploads\MNT_MANUAL_BOOK\MNT00055-E.pdf" xr:uid="{00000000-0004-0000-0100-000034000000}"/>
    <hyperlink ref="G45" r:id="rId54" tooltip="Download" display="D:\uploads\MNT_MANUAL_BOOK\MNT00055-M.pdf" xr:uid="{00000000-0004-0000-0100-000035000000}"/>
    <hyperlink ref="F46" r:id="rId55" tooltip="Download" display="D:\uploads\MNT_MANUAL_BOOK\MNT00056-E.pdf" xr:uid="{00000000-0004-0000-0100-000036000000}"/>
    <hyperlink ref="G46" r:id="rId56" tooltip="Download" display="D:\uploads\MNT_MANUAL_BOOK\MNT00056-M.pdf" xr:uid="{00000000-0004-0000-0100-000037000000}"/>
    <hyperlink ref="F47" r:id="rId57" tooltip="Download" display="D:\uploads\MNT_MANUAL_BOOK\MNT00057-E.pdf" xr:uid="{00000000-0004-0000-0100-000038000000}"/>
    <hyperlink ref="G47" r:id="rId58" tooltip="Download" display="D:\uploads\MNT_MANUAL_BOOK\MNT00057-M.pdf" xr:uid="{00000000-0004-0000-0100-000039000000}"/>
    <hyperlink ref="F48" r:id="rId59" tooltip="Download" display="D:\uploads\MNT_MANUAL_BOOK\MNT00058-E.pdf" xr:uid="{00000000-0004-0000-0100-00003A000000}"/>
    <hyperlink ref="G48" r:id="rId60" tooltip="Download" display="D:\uploads\MNT_MANUAL_BOOK\MNT00058-M.pdf" xr:uid="{00000000-0004-0000-0100-00003B000000}"/>
    <hyperlink ref="G50" r:id="rId61" tooltip="Download" display="D:\uploads\MNT_MANUAL_BOOK\MNT00060-M.pdf" xr:uid="{00000000-0004-0000-0100-00003C000000}"/>
    <hyperlink ref="G51" r:id="rId62" tooltip="Download" display="D:\uploads\MNT_MANUAL_BOOK\MNT00061-M.pdf" xr:uid="{00000000-0004-0000-0100-00003D000000}"/>
    <hyperlink ref="G56" r:id="rId63" tooltip="Download" display="D:\uploads\MNT_MANUAL_BOOK\MNT00068-M.pdf" xr:uid="{00000000-0004-0000-0100-00003E000000}"/>
    <hyperlink ref="G57" r:id="rId64" tooltip="Download" display="D:\uploads\MNT_MANUAL_BOOK\MNT00069-M.pdf" xr:uid="{00000000-0004-0000-0100-00003F000000}"/>
    <hyperlink ref="F58" r:id="rId65" tooltip="Download" display="D:\uploads\MNT_MANUAL_BOOK\MNT00071-E.pdf" xr:uid="{00000000-0004-0000-0100-000040000000}"/>
    <hyperlink ref="G58" r:id="rId66" tooltip="Download" display="D:\uploads\MNT_MANUAL_BOOK\MNT00071-M.pdf" xr:uid="{00000000-0004-0000-0100-000041000000}"/>
    <hyperlink ref="H58" r:id="rId67" tooltip="Download" display="D:\uploads\MNT_MANUAL_BOOK\MNT00071-S.pdf" xr:uid="{00000000-0004-0000-0100-000042000000}"/>
    <hyperlink ref="F59" r:id="rId68" tooltip="Download" display="D:\uploads\MNT_MANUAL_BOOK\MNT00072-E.pdf" xr:uid="{00000000-0004-0000-0100-000043000000}"/>
    <hyperlink ref="G59" r:id="rId69" tooltip="Download" display="D:\uploads\MNT_MANUAL_BOOK\MNT00072-M.pdf" xr:uid="{00000000-0004-0000-0100-000044000000}"/>
    <hyperlink ref="H59" r:id="rId70" tooltip="Download" display="D:\uploads\MNT_MANUAL_BOOK\MNT00072-S.pdf" xr:uid="{00000000-0004-0000-0100-000045000000}"/>
    <hyperlink ref="G60" r:id="rId71" tooltip="Download" display="D:\uploads\MNT_MANUAL_BOOK\MNT00074-M.pdf" xr:uid="{00000000-0004-0000-0100-000046000000}"/>
    <hyperlink ref="F61" r:id="rId72" tooltip="Download" display="D:\uploads\MNT_MANUAL_BOOK\MNT00076-E.pdf" xr:uid="{00000000-0004-0000-0100-000047000000}"/>
    <hyperlink ref="G61" r:id="rId73" tooltip="Download" display="D:\uploads\MNT_MANUAL_BOOK\MNT00076-M.pdf" xr:uid="{00000000-0004-0000-0100-000048000000}"/>
    <hyperlink ref="H61" r:id="rId74" tooltip="Download" display="D:\uploads\MNT_MANUAL_BOOK\MNT00076-S.pdf" xr:uid="{00000000-0004-0000-0100-000049000000}"/>
    <hyperlink ref="F62" r:id="rId75" tooltip="Download" display="D:\uploads\MNT_MANUAL_BOOK\MNT00077-E.pdf" xr:uid="{00000000-0004-0000-0100-00004A000000}"/>
    <hyperlink ref="G62" r:id="rId76" tooltip="Download" display="D:\uploads\MNT_MANUAL_BOOK\MNT00077-M.pdf" xr:uid="{00000000-0004-0000-0100-00004B000000}"/>
    <hyperlink ref="H62" r:id="rId77" tooltip="Download" display="D:\uploads\MNT_MANUAL_BOOK\MNT00077-S.pdf" xr:uid="{00000000-0004-0000-0100-00004C000000}"/>
    <hyperlink ref="F63" r:id="rId78" tooltip="Download" display="D:\uploads\MNT_MANUAL_BOOK\MNT00078-E.pdf" xr:uid="{00000000-0004-0000-0100-00004D000000}"/>
    <hyperlink ref="G63" r:id="rId79" tooltip="Download" display="D:\uploads\MNT_MANUAL_BOOK\MNT00078-M.pdf" xr:uid="{00000000-0004-0000-0100-00004E000000}"/>
    <hyperlink ref="H63" r:id="rId80" tooltip="Download" display="D:\uploads\MNT_MANUAL_BOOK\MNT00078-S.pdf" xr:uid="{00000000-0004-0000-0100-00004F000000}"/>
    <hyperlink ref="F64" r:id="rId81" tooltip="Download" display="D:\uploads\MNT_MANUAL_BOOK\MNT00079-E.pdf" xr:uid="{00000000-0004-0000-0100-000050000000}"/>
    <hyperlink ref="G64" r:id="rId82" tooltip="Download" display="D:\uploads\MNT_MANUAL_BOOK\MNT00079-M.pdf" xr:uid="{00000000-0004-0000-0100-000051000000}"/>
    <hyperlink ref="H64" r:id="rId83" tooltip="Download" display="D:\uploads\MNT_MANUAL_BOOK\MNT00079-S.pdf" xr:uid="{00000000-0004-0000-0100-000052000000}"/>
    <hyperlink ref="F65" r:id="rId84" tooltip="Download" display="D:\uploads\MNT_MANUAL_BOOK\MNT00080-E.pdf" xr:uid="{00000000-0004-0000-0100-000053000000}"/>
    <hyperlink ref="G65" r:id="rId85" tooltip="Download" display="D:\uploads\MNT_MANUAL_BOOK\MNT00080-M.pdf" xr:uid="{00000000-0004-0000-0100-000054000000}"/>
    <hyperlink ref="H65" r:id="rId86" tooltip="Download" display="D:\uploads\MNT_MANUAL_BOOK\MNT00080-S.pdf" xr:uid="{00000000-0004-0000-0100-000055000000}"/>
    <hyperlink ref="F66" r:id="rId87" tooltip="Download" display="D:\uploads\MNT_MANUAL_BOOK\MNT00081-E.pdf" xr:uid="{00000000-0004-0000-0100-000056000000}"/>
    <hyperlink ref="G66" r:id="rId88" tooltip="Download" display="D:\uploads\MNT_MANUAL_BOOK\MNT00081-M.pdf" xr:uid="{00000000-0004-0000-0100-000057000000}"/>
    <hyperlink ref="H66" r:id="rId89" tooltip="Download" display="D:\uploads\MNT_MANUAL_BOOK\MNT00081-S.pdf" xr:uid="{00000000-0004-0000-0100-000058000000}"/>
    <hyperlink ref="F67" r:id="rId90" tooltip="Download" display="D:\uploads\MNT_MANUAL_BOOK\MNT00083-E.pdf" xr:uid="{00000000-0004-0000-0100-000059000000}"/>
    <hyperlink ref="F68" r:id="rId91" tooltip="Download" display="D:\uploads\MNT_MANUAL_BOOK\MNT00084-E.pdf" xr:uid="{00000000-0004-0000-0100-00005A000000}"/>
    <hyperlink ref="G68" r:id="rId92" tooltip="Download" display="D:\uploads\MNT_MANUAL_BOOK\MNT00084-M.pdf" xr:uid="{00000000-0004-0000-0100-00005B000000}"/>
    <hyperlink ref="H68" r:id="rId93" tooltip="Download" display="D:\uploads\MNT_MANUAL_BOOK\MNT00084-S.pdf" xr:uid="{00000000-0004-0000-0100-00005C000000}"/>
    <hyperlink ref="F69" r:id="rId94" tooltip="Download" display="D:\uploads\MNT_MANUAL_BOOK\MNT00085-E.pdf" xr:uid="{00000000-0004-0000-0100-00005D000000}"/>
    <hyperlink ref="G69" r:id="rId95" tooltip="Download" display="D:\uploads\MNT_MANUAL_BOOK\MNT00085-M.pdf" xr:uid="{00000000-0004-0000-0100-00005E000000}"/>
    <hyperlink ref="H69" r:id="rId96" tooltip="Download" display="D:\uploads\MNT_MANUAL_BOOK\MNT00085-S.pdf" xr:uid="{00000000-0004-0000-0100-00005F000000}"/>
    <hyperlink ref="G70" r:id="rId97" tooltip="Download" display="D:\uploads\MNT_MANUAL_BOOK\MNT00086-M.pdf" xr:uid="{00000000-0004-0000-0100-000060000000}"/>
    <hyperlink ref="G71" r:id="rId98" tooltip="Download" display="D:\uploads\MNT_MANUAL_BOOK\MNT00087-M.pdf" xr:uid="{00000000-0004-0000-0100-000061000000}"/>
    <hyperlink ref="F72" r:id="rId99" tooltip="Download" display="D:\uploads\MNT_MANUAL_BOOK\MNT00088-E.pdf" xr:uid="{00000000-0004-0000-0100-000062000000}"/>
    <hyperlink ref="F73" r:id="rId100" tooltip="Download" display="D:\uploads\MNT_MANUAL_BOOK\MNT00089-E.pdf" xr:uid="{00000000-0004-0000-0100-000063000000}"/>
    <hyperlink ref="H73" r:id="rId101" tooltip="Download" display="D:\uploads\MNT_MANUAL_BOOK\MNT00089-S.pdf" xr:uid="{00000000-0004-0000-0100-000064000000}"/>
    <hyperlink ref="F74" r:id="rId102" tooltip="Download" display="D:\uploads\MNT_MANUAL_BOOK\MNT00090-E.pdf" xr:uid="{00000000-0004-0000-0100-000065000000}"/>
    <hyperlink ref="H74" r:id="rId103" tooltip="Download" display="D:\uploads\MNT_MANUAL_BOOK\MNT00090-S.pdf" xr:uid="{00000000-0004-0000-0100-000066000000}"/>
    <hyperlink ref="G75" r:id="rId104" tooltip="Download" display="D:\uploads\MNT_MANUAL_BOOK\MNT00091-M.pdf" xr:uid="{00000000-0004-0000-0100-000067000000}"/>
    <hyperlink ref="G76" r:id="rId105" tooltip="Download" display="D:\uploads\MNT_MANUAL_BOOK\MNT00092-M.pdf" xr:uid="{00000000-0004-0000-0100-000068000000}"/>
    <hyperlink ref="G77" r:id="rId106" tooltip="Download" display="D:\uploads\MNT_MANUAL_BOOK\MNT00093-M.pdf" xr:uid="{00000000-0004-0000-0100-000069000000}"/>
    <hyperlink ref="F82" r:id="rId107" tooltip="Download" display="D:\uploads\MNT_MANUAL_BOOK\MNT00098-E.pdf" xr:uid="{00000000-0004-0000-0100-00006A000000}"/>
    <hyperlink ref="G82" r:id="rId108" tooltip="Download" display="D:\uploads\MNT_MANUAL_BOOK\MNT00098-M.pdf" xr:uid="{00000000-0004-0000-0100-00006B000000}"/>
    <hyperlink ref="F83" r:id="rId109" tooltip="Download" display="D:\uploads\MNT_MANUAL_BOOK\MNT00099-E.pdf" xr:uid="{00000000-0004-0000-0100-00006C000000}"/>
    <hyperlink ref="G83" r:id="rId110" tooltip="Download" display="D:\uploads\MNT_MANUAL_BOOK\MNT00099-M.pdf" xr:uid="{00000000-0004-0000-0100-00006D000000}"/>
    <hyperlink ref="F84" r:id="rId111" tooltip="Download" display="D:\uploads\MNT_MANUAL_BOOK\MNT00100-E.pdf" xr:uid="{00000000-0004-0000-0100-00006E000000}"/>
    <hyperlink ref="G84" r:id="rId112" tooltip="Download" display="D:\uploads\MNT_MANUAL_BOOK\MNT00100-M.pdf" xr:uid="{00000000-0004-0000-0100-00006F000000}"/>
    <hyperlink ref="H84" r:id="rId113" tooltip="Download" display="D:\uploads\MNT_MANUAL_BOOK\MNT00100-S.pdf" xr:uid="{00000000-0004-0000-0100-000070000000}"/>
    <hyperlink ref="F85" r:id="rId114" tooltip="Download" display="D:\uploads\MNT_MANUAL_BOOK\MNT00102-E.pdf" xr:uid="{00000000-0004-0000-0100-000071000000}"/>
    <hyperlink ref="F86" r:id="rId115" tooltip="Download" display="D:\uploads\MNT_MANUAL_BOOK\MNT00103-E.pdf" xr:uid="{00000000-0004-0000-0100-000072000000}"/>
    <hyperlink ref="G86" r:id="rId116" tooltip="Download" display="D:\uploads\MNT_MANUAL_BOOK\MNT00103-M.pdf" xr:uid="{00000000-0004-0000-0100-000073000000}"/>
    <hyperlink ref="G88" r:id="rId117" tooltip="Download" display="D:\uploads\MNT_MANUAL_BOOK\MNT00105-M.pdf" xr:uid="{00000000-0004-0000-0100-000074000000}"/>
    <hyperlink ref="F90" r:id="rId118" tooltip="Download" display="D:\uploads\MNT_MANUAL_BOOK\MNT00481-E.pdf" xr:uid="{00000000-0004-0000-0100-000075000000}"/>
    <hyperlink ref="G90" r:id="rId119" tooltip="Download" display="D:\uploads\MNT_MANUAL_BOOK\MNT00481-M.pdf" xr:uid="{00000000-0004-0000-0100-000076000000}"/>
    <hyperlink ref="F91" r:id="rId120" tooltip="Download" display="D:\uploads\MNT_MANUAL_BOOK\MNT00499-E.pdf" xr:uid="{00000000-0004-0000-0100-000077000000}"/>
    <hyperlink ref="G91" r:id="rId121" tooltip="Download" display="D:\uploads\MNT_MANUAL_BOOK\MNT00499-M.pdf" xr:uid="{00000000-0004-0000-0100-000078000000}"/>
    <hyperlink ref="F92" r:id="rId122" tooltip="Download" display="D:\uploads\MNT_MANUAL_BOOK\MNT00693-E.pdf" xr:uid="{00000000-0004-0000-0100-000079000000}"/>
    <hyperlink ref="G92" r:id="rId123" tooltip="Download" display="D:\uploads\MNT_MANUAL_BOOK\MNT00693-M.pdf" xr:uid="{00000000-0004-0000-0100-00007A000000}"/>
    <hyperlink ref="H92" r:id="rId124" tooltip="Download" display="D:\uploads\MNT_MANUAL_BOOK\MNT00693-S.pdf" xr:uid="{00000000-0004-0000-0100-00007B000000}"/>
    <hyperlink ref="F93" r:id="rId125" tooltip="Download" display="D:\uploads\MNT_MANUAL_BOOK\MNT01616-E.pdf" xr:uid="{00000000-0004-0000-0100-00007C000000}"/>
    <hyperlink ref="G93" r:id="rId126" tooltip="Download" display="D:\uploads\MNT_MANUAL_BOOK\MNT01616-M.pdf" xr:uid="{00000000-0004-0000-0100-00007D000000}"/>
    <hyperlink ref="H93" r:id="rId127" tooltip="Download" display="D:\uploads\MNT_MANUAL_BOOK\MNT01616-S.pdf" xr:uid="{00000000-0004-0000-0100-00007E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68EC-B149-40CB-959B-AB6AADA618D6}">
  <dimension ref="A3:A43"/>
  <sheetViews>
    <sheetView topLeftCell="A4" workbookViewId="0">
      <selection activeCell="F107" sqref="F107"/>
    </sheetView>
  </sheetViews>
  <sheetFormatPr defaultRowHeight="15" x14ac:dyDescent="0.25"/>
  <cols>
    <col min="1" max="1" width="23.140625" bestFit="1" customWidth="1"/>
  </cols>
  <sheetData>
    <row r="3" spans="1:1" x14ac:dyDescent="0.25">
      <c r="A3" s="7" t="s">
        <v>297</v>
      </c>
    </row>
    <row r="4" spans="1:1" x14ac:dyDescent="0.25">
      <c r="A4" s="8" t="s">
        <v>300</v>
      </c>
    </row>
    <row r="5" spans="1:1" x14ac:dyDescent="0.25">
      <c r="A5" s="8" t="s">
        <v>281</v>
      </c>
    </row>
    <row r="6" spans="1:1" x14ac:dyDescent="0.25">
      <c r="A6" s="8" t="s">
        <v>243</v>
      </c>
    </row>
    <row r="7" spans="1:1" x14ac:dyDescent="0.25">
      <c r="A7" s="8" t="s">
        <v>250</v>
      </c>
    </row>
    <row r="8" spans="1:1" x14ac:dyDescent="0.25">
      <c r="A8" s="8" t="s">
        <v>274</v>
      </c>
    </row>
    <row r="9" spans="1:1" x14ac:dyDescent="0.25">
      <c r="A9" s="8" t="s">
        <v>284</v>
      </c>
    </row>
    <row r="10" spans="1:1" x14ac:dyDescent="0.25">
      <c r="A10" s="8" t="s">
        <v>283</v>
      </c>
    </row>
    <row r="11" spans="1:1" x14ac:dyDescent="0.25">
      <c r="A11" s="8" t="s">
        <v>234</v>
      </c>
    </row>
    <row r="12" spans="1:1" x14ac:dyDescent="0.25">
      <c r="A12" s="8" t="s">
        <v>285</v>
      </c>
    </row>
    <row r="13" spans="1:1" x14ac:dyDescent="0.25">
      <c r="A13" s="8" t="s">
        <v>231</v>
      </c>
    </row>
    <row r="14" spans="1:1" x14ac:dyDescent="0.25">
      <c r="A14" s="8" t="s">
        <v>240</v>
      </c>
    </row>
    <row r="15" spans="1:1" x14ac:dyDescent="0.25">
      <c r="A15" s="8" t="s">
        <v>286</v>
      </c>
    </row>
    <row r="16" spans="1:1" x14ac:dyDescent="0.25">
      <c r="A16" s="8" t="s">
        <v>287</v>
      </c>
    </row>
    <row r="17" spans="1:1" x14ac:dyDescent="0.25">
      <c r="A17" s="8" t="s">
        <v>239</v>
      </c>
    </row>
    <row r="18" spans="1:1" x14ac:dyDescent="0.25">
      <c r="A18" s="8" t="s">
        <v>249</v>
      </c>
    </row>
    <row r="19" spans="1:1" x14ac:dyDescent="0.25">
      <c r="A19" s="8" t="s">
        <v>150</v>
      </c>
    </row>
    <row r="20" spans="1:1" x14ac:dyDescent="0.25">
      <c r="A20" s="8" t="s">
        <v>257</v>
      </c>
    </row>
    <row r="21" spans="1:1" x14ac:dyDescent="0.25">
      <c r="A21" s="8" t="s">
        <v>289</v>
      </c>
    </row>
    <row r="22" spans="1:1" x14ac:dyDescent="0.25">
      <c r="A22" s="8" t="s">
        <v>288</v>
      </c>
    </row>
    <row r="23" spans="1:1" x14ac:dyDescent="0.25">
      <c r="A23" s="8" t="s">
        <v>290</v>
      </c>
    </row>
    <row r="24" spans="1:1" x14ac:dyDescent="0.25">
      <c r="A24" s="8" t="s">
        <v>292</v>
      </c>
    </row>
    <row r="25" spans="1:1" x14ac:dyDescent="0.25">
      <c r="A25" s="8" t="s">
        <v>230</v>
      </c>
    </row>
    <row r="26" spans="1:1" x14ac:dyDescent="0.25">
      <c r="A26" s="8" t="s">
        <v>293</v>
      </c>
    </row>
    <row r="27" spans="1:1" x14ac:dyDescent="0.25">
      <c r="A27" s="8" t="s">
        <v>278</v>
      </c>
    </row>
    <row r="28" spans="1:1" x14ac:dyDescent="0.25">
      <c r="A28" s="8" t="s">
        <v>279</v>
      </c>
    </row>
    <row r="29" spans="1:1" x14ac:dyDescent="0.25">
      <c r="A29" s="8" t="s">
        <v>268</v>
      </c>
    </row>
    <row r="30" spans="1:1" x14ac:dyDescent="0.25">
      <c r="A30" s="8" t="s">
        <v>294</v>
      </c>
    </row>
    <row r="31" spans="1:1" x14ac:dyDescent="0.25">
      <c r="A31" s="8" t="s">
        <v>280</v>
      </c>
    </row>
    <row r="32" spans="1:1" x14ac:dyDescent="0.25">
      <c r="A32" s="8" t="s">
        <v>266</v>
      </c>
    </row>
    <row r="33" spans="1:1" x14ac:dyDescent="0.25">
      <c r="A33" s="8" t="s">
        <v>267</v>
      </c>
    </row>
    <row r="34" spans="1:1" x14ac:dyDescent="0.25">
      <c r="A34" s="8" t="s">
        <v>232</v>
      </c>
    </row>
    <row r="35" spans="1:1" x14ac:dyDescent="0.25">
      <c r="A35" s="8" t="s">
        <v>263</v>
      </c>
    </row>
    <row r="36" spans="1:1" x14ac:dyDescent="0.25">
      <c r="A36" s="8" t="s">
        <v>291</v>
      </c>
    </row>
    <row r="37" spans="1:1" x14ac:dyDescent="0.25">
      <c r="A37" s="8" t="s">
        <v>273</v>
      </c>
    </row>
    <row r="38" spans="1:1" x14ac:dyDescent="0.25">
      <c r="A38" s="8" t="s">
        <v>254</v>
      </c>
    </row>
    <row r="39" spans="1:1" x14ac:dyDescent="0.25">
      <c r="A39" s="8" t="s">
        <v>275</v>
      </c>
    </row>
    <row r="40" spans="1:1" x14ac:dyDescent="0.25">
      <c r="A40" s="8" t="s">
        <v>295</v>
      </c>
    </row>
    <row r="41" spans="1:1" x14ac:dyDescent="0.25">
      <c r="A41" s="8" t="s">
        <v>241</v>
      </c>
    </row>
    <row r="42" spans="1:1" x14ac:dyDescent="0.25">
      <c r="A42" s="8" t="s">
        <v>233</v>
      </c>
    </row>
    <row r="43" spans="1:1" x14ac:dyDescent="0.25">
      <c r="A43" s="8" t="s">
        <v>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34F6-5FDB-42C9-90D6-6D69BFEE4B20}">
  <dimension ref="A2:F99"/>
  <sheetViews>
    <sheetView topLeftCell="A79" workbookViewId="0">
      <selection activeCell="F107" sqref="F107"/>
    </sheetView>
  </sheetViews>
  <sheetFormatPr defaultRowHeight="15" x14ac:dyDescent="0.25"/>
  <cols>
    <col min="1" max="1" width="9.5703125" bestFit="1" customWidth="1"/>
    <col min="2" max="2" width="9.5703125" customWidth="1"/>
    <col min="3" max="3" width="19.7109375" bestFit="1" customWidth="1"/>
    <col min="4" max="4" width="21.85546875" bestFit="1" customWidth="1"/>
    <col min="5" max="5" width="50.42578125" bestFit="1" customWidth="1"/>
    <col min="6" max="6" width="10.140625" bestFit="1" customWidth="1"/>
  </cols>
  <sheetData>
    <row r="2" spans="1:6" x14ac:dyDescent="0.25">
      <c r="A2" s="2" t="s">
        <v>1</v>
      </c>
      <c r="B2" s="2" t="s">
        <v>299</v>
      </c>
      <c r="C2" s="2" t="s">
        <v>282</v>
      </c>
      <c r="D2" s="2" t="s">
        <v>226</v>
      </c>
      <c r="E2" s="2" t="s">
        <v>296</v>
      </c>
      <c r="F2" s="2" t="s">
        <v>220</v>
      </c>
    </row>
    <row r="3" spans="1:6" x14ac:dyDescent="0.25">
      <c r="A3" s="3" t="s">
        <v>15</v>
      </c>
      <c r="B3" s="3">
        <v>1</v>
      </c>
      <c r="C3" s="3" t="s">
        <v>281</v>
      </c>
      <c r="D3" s="3" t="s">
        <v>281</v>
      </c>
      <c r="E3" s="4" t="s">
        <v>16</v>
      </c>
      <c r="F3" s="4" t="str">
        <f t="shared" ref="F3:F34" si="0">A3</f>
        <v>MNT00001</v>
      </c>
    </row>
    <row r="4" spans="1:6" s="13" customFormat="1" x14ac:dyDescent="0.25">
      <c r="A4" s="11" t="s">
        <v>100</v>
      </c>
      <c r="B4" s="11">
        <v>2</v>
      </c>
      <c r="C4" s="11" t="s">
        <v>243</v>
      </c>
      <c r="D4" s="11" t="s">
        <v>248</v>
      </c>
      <c r="E4" s="12" t="s">
        <v>101</v>
      </c>
      <c r="F4" s="12" t="str">
        <f t="shared" si="0"/>
        <v>MNT00046</v>
      </c>
    </row>
    <row r="5" spans="1:6" s="13" customFormat="1" x14ac:dyDescent="0.25">
      <c r="A5" s="11" t="s">
        <v>102</v>
      </c>
      <c r="B5" s="11">
        <v>2</v>
      </c>
      <c r="C5" s="11" t="s">
        <v>243</v>
      </c>
      <c r="D5" s="11" t="s">
        <v>248</v>
      </c>
      <c r="E5" s="12" t="s">
        <v>103</v>
      </c>
      <c r="F5" s="12" t="str">
        <f t="shared" si="0"/>
        <v>MNT00047</v>
      </c>
    </row>
    <row r="6" spans="1:6" s="13" customFormat="1" x14ac:dyDescent="0.25">
      <c r="A6" s="11" t="s">
        <v>104</v>
      </c>
      <c r="B6" s="11">
        <v>2</v>
      </c>
      <c r="C6" s="11" t="s">
        <v>243</v>
      </c>
      <c r="D6" s="11" t="s">
        <v>248</v>
      </c>
      <c r="E6" s="12" t="s">
        <v>105</v>
      </c>
      <c r="F6" s="12" t="str">
        <f t="shared" si="0"/>
        <v>MNT00048</v>
      </c>
    </row>
    <row r="7" spans="1:6" s="13" customFormat="1" x14ac:dyDescent="0.25">
      <c r="A7" s="11" t="s">
        <v>98</v>
      </c>
      <c r="B7" s="11">
        <v>2</v>
      </c>
      <c r="C7" s="11" t="s">
        <v>243</v>
      </c>
      <c r="D7" s="11" t="s">
        <v>247</v>
      </c>
      <c r="E7" s="12" t="s">
        <v>99</v>
      </c>
      <c r="F7" s="12" t="str">
        <f t="shared" si="0"/>
        <v>MNT00045</v>
      </c>
    </row>
    <row r="8" spans="1:6" s="13" customFormat="1" x14ac:dyDescent="0.25">
      <c r="A8" s="11" t="s">
        <v>88</v>
      </c>
      <c r="B8" s="11">
        <v>2</v>
      </c>
      <c r="C8" s="11" t="s">
        <v>243</v>
      </c>
      <c r="D8" s="11" t="s">
        <v>245</v>
      </c>
      <c r="E8" s="12" t="s">
        <v>89</v>
      </c>
      <c r="F8" s="12" t="str">
        <f t="shared" si="0"/>
        <v>MNT00040</v>
      </c>
    </row>
    <row r="9" spans="1:6" s="13" customFormat="1" x14ac:dyDescent="0.25">
      <c r="A9" s="11" t="s">
        <v>90</v>
      </c>
      <c r="B9" s="11">
        <v>2</v>
      </c>
      <c r="C9" s="11" t="s">
        <v>243</v>
      </c>
      <c r="D9" s="11" t="s">
        <v>245</v>
      </c>
      <c r="E9" s="12" t="s">
        <v>91</v>
      </c>
      <c r="F9" s="12" t="str">
        <f t="shared" si="0"/>
        <v>MNT00041</v>
      </c>
    </row>
    <row r="10" spans="1:6" s="13" customFormat="1" x14ac:dyDescent="0.25">
      <c r="A10" s="11" t="s">
        <v>121</v>
      </c>
      <c r="B10" s="11">
        <v>2</v>
      </c>
      <c r="C10" s="11" t="s">
        <v>243</v>
      </c>
      <c r="D10" s="11" t="s">
        <v>245</v>
      </c>
      <c r="E10" s="12" t="s">
        <v>122</v>
      </c>
      <c r="F10" s="12" t="str">
        <f t="shared" si="0"/>
        <v>MNT00059</v>
      </c>
    </row>
    <row r="11" spans="1:6" s="13" customFormat="1" x14ac:dyDescent="0.25">
      <c r="A11" s="11" t="s">
        <v>123</v>
      </c>
      <c r="B11" s="11">
        <v>2</v>
      </c>
      <c r="C11" s="11" t="s">
        <v>243</v>
      </c>
      <c r="D11" s="11" t="s">
        <v>245</v>
      </c>
      <c r="E11" s="12" t="s">
        <v>124</v>
      </c>
      <c r="F11" s="12" t="str">
        <f t="shared" si="0"/>
        <v>MNT00060</v>
      </c>
    </row>
    <row r="12" spans="1:6" s="13" customFormat="1" x14ac:dyDescent="0.25">
      <c r="A12" s="11" t="s">
        <v>92</v>
      </c>
      <c r="B12" s="11">
        <v>2</v>
      </c>
      <c r="C12" s="11" t="s">
        <v>243</v>
      </c>
      <c r="D12" s="11" t="s">
        <v>246</v>
      </c>
      <c r="E12" s="12" t="s">
        <v>93</v>
      </c>
      <c r="F12" s="12" t="str">
        <f t="shared" si="0"/>
        <v>MNT00042</v>
      </c>
    </row>
    <row r="13" spans="1:6" s="13" customFormat="1" x14ac:dyDescent="0.25">
      <c r="A13" s="11" t="s">
        <v>94</v>
      </c>
      <c r="B13" s="11">
        <v>2</v>
      </c>
      <c r="C13" s="11" t="s">
        <v>243</v>
      </c>
      <c r="D13" s="11" t="s">
        <v>246</v>
      </c>
      <c r="E13" s="12" t="s">
        <v>95</v>
      </c>
      <c r="F13" s="12" t="str">
        <f t="shared" si="0"/>
        <v>MNT00043</v>
      </c>
    </row>
    <row r="14" spans="1:6" s="13" customFormat="1" x14ac:dyDescent="0.25">
      <c r="A14" s="11" t="s">
        <v>96</v>
      </c>
      <c r="B14" s="11">
        <v>2</v>
      </c>
      <c r="C14" s="11" t="s">
        <v>243</v>
      </c>
      <c r="D14" s="11" t="s">
        <v>246</v>
      </c>
      <c r="E14" s="12" t="s">
        <v>97</v>
      </c>
      <c r="F14" s="12" t="str">
        <f t="shared" si="0"/>
        <v>MNT00044</v>
      </c>
    </row>
    <row r="15" spans="1:6" s="13" customFormat="1" x14ac:dyDescent="0.25">
      <c r="A15" s="11" t="s">
        <v>125</v>
      </c>
      <c r="B15" s="11">
        <v>2</v>
      </c>
      <c r="C15" s="11" t="s">
        <v>243</v>
      </c>
      <c r="D15" s="11" t="s">
        <v>246</v>
      </c>
      <c r="E15" s="12" t="s">
        <v>126</v>
      </c>
      <c r="F15" s="12" t="str">
        <f t="shared" si="0"/>
        <v>MNT00061</v>
      </c>
    </row>
    <row r="16" spans="1:6" s="16" customFormat="1" x14ac:dyDescent="0.25">
      <c r="A16" s="14" t="s">
        <v>127</v>
      </c>
      <c r="B16" s="14">
        <v>3</v>
      </c>
      <c r="C16" s="14" t="s">
        <v>250</v>
      </c>
      <c r="D16" s="14" t="s">
        <v>250</v>
      </c>
      <c r="E16" s="15" t="s">
        <v>128</v>
      </c>
      <c r="F16" s="15" t="str">
        <f t="shared" si="0"/>
        <v>MNT00063</v>
      </c>
    </row>
    <row r="17" spans="1:6" s="16" customFormat="1" x14ac:dyDescent="0.25">
      <c r="A17" s="14" t="s">
        <v>209</v>
      </c>
      <c r="B17" s="14">
        <v>3</v>
      </c>
      <c r="C17" s="14" t="s">
        <v>250</v>
      </c>
      <c r="D17" s="14" t="s">
        <v>250</v>
      </c>
      <c r="E17" s="15" t="s">
        <v>210</v>
      </c>
      <c r="F17" s="15" t="str">
        <f t="shared" si="0"/>
        <v>MNT01638</v>
      </c>
    </row>
    <row r="18" spans="1:6" s="19" customFormat="1" x14ac:dyDescent="0.25">
      <c r="A18" s="17" t="s">
        <v>192</v>
      </c>
      <c r="B18" s="17">
        <v>4</v>
      </c>
      <c r="C18" s="17" t="s">
        <v>274</v>
      </c>
      <c r="D18" s="17" t="s">
        <v>274</v>
      </c>
      <c r="E18" s="18" t="s">
        <v>193</v>
      </c>
      <c r="F18" s="18" t="str">
        <f t="shared" si="0"/>
        <v>MNT00103</v>
      </c>
    </row>
    <row r="19" spans="1:6" s="9" customFormat="1" x14ac:dyDescent="0.25">
      <c r="A19" s="20" t="s">
        <v>153</v>
      </c>
      <c r="B19" s="20">
        <v>5</v>
      </c>
      <c r="C19" s="20" t="s">
        <v>284</v>
      </c>
      <c r="D19" s="20" t="s">
        <v>258</v>
      </c>
      <c r="E19" s="21" t="s">
        <v>154</v>
      </c>
      <c r="F19" s="21" t="str">
        <f t="shared" si="0"/>
        <v>MNT00083</v>
      </c>
    </row>
    <row r="20" spans="1:6" s="9" customFormat="1" x14ac:dyDescent="0.25">
      <c r="A20" s="20" t="s">
        <v>155</v>
      </c>
      <c r="B20" s="20">
        <v>5</v>
      </c>
      <c r="C20" s="20" t="s">
        <v>284</v>
      </c>
      <c r="D20" s="20" t="s">
        <v>259</v>
      </c>
      <c r="E20" s="21" t="s">
        <v>156</v>
      </c>
      <c r="F20" s="21" t="str">
        <f t="shared" si="0"/>
        <v>MNT00084</v>
      </c>
    </row>
    <row r="21" spans="1:6" x14ac:dyDescent="0.25">
      <c r="A21" s="3" t="s">
        <v>157</v>
      </c>
      <c r="B21" s="3">
        <v>5</v>
      </c>
      <c r="C21" s="3" t="s">
        <v>284</v>
      </c>
      <c r="D21" s="3" t="s">
        <v>260</v>
      </c>
      <c r="E21" s="4" t="s">
        <v>158</v>
      </c>
      <c r="F21" s="4" t="str">
        <f t="shared" si="0"/>
        <v>MNT00085</v>
      </c>
    </row>
    <row r="22" spans="1:6" x14ac:dyDescent="0.25">
      <c r="A22" s="3" t="s">
        <v>137</v>
      </c>
      <c r="B22" s="3">
        <v>6</v>
      </c>
      <c r="C22" s="3" t="s">
        <v>283</v>
      </c>
      <c r="D22" s="3" t="s">
        <v>255</v>
      </c>
      <c r="E22" s="4" t="s">
        <v>224</v>
      </c>
      <c r="F22" s="4" t="str">
        <f t="shared" si="0"/>
        <v>MNT00071</v>
      </c>
    </row>
    <row r="23" spans="1:6" x14ac:dyDescent="0.25">
      <c r="A23" s="3" t="s">
        <v>138</v>
      </c>
      <c r="B23" s="3">
        <v>6</v>
      </c>
      <c r="C23" s="3" t="s">
        <v>283</v>
      </c>
      <c r="D23" s="3" t="s">
        <v>256</v>
      </c>
      <c r="E23" s="4" t="s">
        <v>225</v>
      </c>
      <c r="F23" s="4" t="str">
        <f t="shared" si="0"/>
        <v>MNT00072</v>
      </c>
    </row>
    <row r="24" spans="1:6" x14ac:dyDescent="0.25">
      <c r="A24" s="3" t="s">
        <v>52</v>
      </c>
      <c r="B24" s="3">
        <v>7</v>
      </c>
      <c r="C24" s="3" t="s">
        <v>234</v>
      </c>
      <c r="D24" s="3" t="s">
        <v>234</v>
      </c>
      <c r="E24" s="4" t="s">
        <v>53</v>
      </c>
      <c r="F24" s="4" t="str">
        <f t="shared" si="0"/>
        <v>MNT00019</v>
      </c>
    </row>
    <row r="25" spans="1:6" x14ac:dyDescent="0.25">
      <c r="A25" s="3" t="s">
        <v>129</v>
      </c>
      <c r="B25" s="3">
        <v>8</v>
      </c>
      <c r="C25" s="3" t="s">
        <v>285</v>
      </c>
      <c r="D25" s="3" t="s">
        <v>251</v>
      </c>
      <c r="E25" s="4" t="s">
        <v>222</v>
      </c>
      <c r="F25" s="4" t="str">
        <f t="shared" si="0"/>
        <v>MNT00064</v>
      </c>
    </row>
    <row r="26" spans="1:6" x14ac:dyDescent="0.25">
      <c r="A26" s="3" t="s">
        <v>130</v>
      </c>
      <c r="B26" s="3">
        <v>8</v>
      </c>
      <c r="C26" s="3" t="s">
        <v>285</v>
      </c>
      <c r="D26" s="3" t="s">
        <v>251</v>
      </c>
      <c r="E26" s="4" t="s">
        <v>223</v>
      </c>
      <c r="F26" s="4" t="str">
        <f t="shared" si="0"/>
        <v>MNT00065</v>
      </c>
    </row>
    <row r="27" spans="1:6" x14ac:dyDescent="0.25">
      <c r="A27" s="3" t="s">
        <v>213</v>
      </c>
      <c r="B27" s="3">
        <v>8</v>
      </c>
      <c r="C27" s="3" t="s">
        <v>285</v>
      </c>
      <c r="D27" s="3" t="s">
        <v>277</v>
      </c>
      <c r="E27" s="4" t="s">
        <v>214</v>
      </c>
      <c r="F27" s="4" t="str">
        <f t="shared" si="0"/>
        <v>MNT01645</v>
      </c>
    </row>
    <row r="28" spans="1:6" x14ac:dyDescent="0.25">
      <c r="A28" s="3" t="s">
        <v>133</v>
      </c>
      <c r="B28" s="3">
        <v>8</v>
      </c>
      <c r="C28" s="3" t="s">
        <v>285</v>
      </c>
      <c r="D28" s="3" t="s">
        <v>253</v>
      </c>
      <c r="E28" s="4" t="s">
        <v>134</v>
      </c>
      <c r="F28" s="4" t="str">
        <f t="shared" si="0"/>
        <v>MNT00068</v>
      </c>
    </row>
    <row r="29" spans="1:6" x14ac:dyDescent="0.25">
      <c r="A29" s="3" t="s">
        <v>131</v>
      </c>
      <c r="B29" s="3">
        <v>8</v>
      </c>
      <c r="C29" s="3" t="s">
        <v>285</v>
      </c>
      <c r="D29" s="3" t="s">
        <v>252</v>
      </c>
      <c r="E29" s="4" t="s">
        <v>132</v>
      </c>
      <c r="F29" s="4" t="str">
        <f t="shared" si="0"/>
        <v>MNT00067</v>
      </c>
    </row>
    <row r="30" spans="1:6" x14ac:dyDescent="0.25">
      <c r="A30" s="3" t="s">
        <v>54</v>
      </c>
      <c r="B30" s="3">
        <v>9</v>
      </c>
      <c r="C30" s="3" t="s">
        <v>231</v>
      </c>
      <c r="D30" s="3" t="s">
        <v>235</v>
      </c>
      <c r="E30" s="4" t="s">
        <v>221</v>
      </c>
      <c r="F30" s="4" t="str">
        <f t="shared" si="0"/>
        <v>MNT00020</v>
      </c>
    </row>
    <row r="31" spans="1:6" x14ac:dyDescent="0.25">
      <c r="A31" s="3" t="s">
        <v>74</v>
      </c>
      <c r="B31" s="3">
        <v>10</v>
      </c>
      <c r="C31" s="3" t="s">
        <v>240</v>
      </c>
      <c r="D31" s="3" t="s">
        <v>242</v>
      </c>
      <c r="E31" s="4" t="s">
        <v>75</v>
      </c>
      <c r="F31" s="4" t="str">
        <f t="shared" si="0"/>
        <v>MNT00029</v>
      </c>
    </row>
    <row r="32" spans="1:6" x14ac:dyDescent="0.25">
      <c r="A32" s="3" t="s">
        <v>76</v>
      </c>
      <c r="B32" s="3">
        <v>10</v>
      </c>
      <c r="C32" s="3" t="s">
        <v>240</v>
      </c>
      <c r="D32" s="3" t="s">
        <v>242</v>
      </c>
      <c r="E32" s="4" t="s">
        <v>77</v>
      </c>
      <c r="F32" s="4" t="str">
        <f t="shared" si="0"/>
        <v>MNT00030</v>
      </c>
    </row>
    <row r="33" spans="1:6" x14ac:dyDescent="0.25">
      <c r="A33" s="3" t="s">
        <v>183</v>
      </c>
      <c r="B33" s="3">
        <v>11</v>
      </c>
      <c r="C33" s="3" t="s">
        <v>286</v>
      </c>
      <c r="D33" s="3" t="s">
        <v>270</v>
      </c>
      <c r="E33" s="4" t="s">
        <v>184</v>
      </c>
      <c r="F33" s="4" t="str">
        <f t="shared" si="0"/>
        <v>MNT00098</v>
      </c>
    </row>
    <row r="34" spans="1:6" x14ac:dyDescent="0.25">
      <c r="A34" s="3" t="s">
        <v>185</v>
      </c>
      <c r="B34" s="3">
        <v>11</v>
      </c>
      <c r="C34" s="3" t="s">
        <v>286</v>
      </c>
      <c r="D34" s="3" t="s">
        <v>271</v>
      </c>
      <c r="E34" s="4" t="s">
        <v>186</v>
      </c>
      <c r="F34" s="4" t="str">
        <f t="shared" si="0"/>
        <v>MNT00099</v>
      </c>
    </row>
    <row r="35" spans="1:6" x14ac:dyDescent="0.25">
      <c r="A35" s="3" t="s">
        <v>187</v>
      </c>
      <c r="B35" s="3">
        <v>11</v>
      </c>
      <c r="C35" s="3" t="s">
        <v>286</v>
      </c>
      <c r="D35" s="3" t="s">
        <v>272</v>
      </c>
      <c r="E35" s="4" t="s">
        <v>188</v>
      </c>
      <c r="F35" s="4" t="str">
        <f t="shared" ref="F35:F66" si="1">A35</f>
        <v>MNT00100</v>
      </c>
    </row>
    <row r="36" spans="1:6" x14ac:dyDescent="0.25">
      <c r="A36" s="3" t="s">
        <v>84</v>
      </c>
      <c r="B36" s="3">
        <v>12</v>
      </c>
      <c r="C36" s="3" t="s">
        <v>287</v>
      </c>
      <c r="D36" s="3" t="s">
        <v>244</v>
      </c>
      <c r="E36" s="4" t="s">
        <v>85</v>
      </c>
      <c r="F36" s="4" t="str">
        <f t="shared" si="1"/>
        <v>MNT00038</v>
      </c>
    </row>
    <row r="37" spans="1:6" x14ac:dyDescent="0.25">
      <c r="A37" s="3" t="s">
        <v>86</v>
      </c>
      <c r="B37" s="3">
        <v>12</v>
      </c>
      <c r="C37" s="3" t="s">
        <v>287</v>
      </c>
      <c r="D37" s="3" t="s">
        <v>244</v>
      </c>
      <c r="E37" s="4" t="s">
        <v>87</v>
      </c>
      <c r="F37" s="4" t="str">
        <f t="shared" si="1"/>
        <v>MNT00039</v>
      </c>
    </row>
    <row r="38" spans="1:6" x14ac:dyDescent="0.25">
      <c r="A38" s="3" t="s">
        <v>64</v>
      </c>
      <c r="B38" s="3">
        <v>13</v>
      </c>
      <c r="C38" s="3" t="s">
        <v>239</v>
      </c>
      <c r="D38" s="3" t="s">
        <v>239</v>
      </c>
      <c r="E38" s="4" t="s">
        <v>65</v>
      </c>
      <c r="F38" s="4" t="str">
        <f t="shared" si="1"/>
        <v>MNT00024</v>
      </c>
    </row>
    <row r="39" spans="1:6" x14ac:dyDescent="0.25">
      <c r="A39" s="3" t="s">
        <v>66</v>
      </c>
      <c r="B39" s="3">
        <v>13</v>
      </c>
      <c r="C39" s="3" t="s">
        <v>239</v>
      </c>
      <c r="D39" s="3" t="s">
        <v>239</v>
      </c>
      <c r="E39" s="4" t="s">
        <v>67</v>
      </c>
      <c r="F39" s="4" t="str">
        <f t="shared" si="1"/>
        <v>MNT00025</v>
      </c>
    </row>
    <row r="40" spans="1:6" x14ac:dyDescent="0.25">
      <c r="A40" s="3" t="s">
        <v>68</v>
      </c>
      <c r="B40" s="3">
        <v>13</v>
      </c>
      <c r="C40" s="3" t="s">
        <v>239</v>
      </c>
      <c r="D40" s="3" t="s">
        <v>239</v>
      </c>
      <c r="E40" s="4" t="s">
        <v>69</v>
      </c>
      <c r="F40" s="4" t="str">
        <f t="shared" si="1"/>
        <v>MNT00026</v>
      </c>
    </row>
    <row r="41" spans="1:6" x14ac:dyDescent="0.25">
      <c r="A41" s="3" t="s">
        <v>78</v>
      </c>
      <c r="B41" s="3">
        <v>13</v>
      </c>
      <c r="C41" s="3" t="s">
        <v>239</v>
      </c>
      <c r="D41" s="3" t="s">
        <v>239</v>
      </c>
      <c r="E41" s="4" t="s">
        <v>79</v>
      </c>
      <c r="F41" s="4" t="str">
        <f t="shared" si="1"/>
        <v>MNT00032</v>
      </c>
    </row>
    <row r="42" spans="1:6" x14ac:dyDescent="0.25">
      <c r="A42" s="3" t="s">
        <v>80</v>
      </c>
      <c r="B42" s="3">
        <v>13</v>
      </c>
      <c r="C42" s="3" t="s">
        <v>239</v>
      </c>
      <c r="D42" s="3" t="s">
        <v>239</v>
      </c>
      <c r="E42" s="4" t="s">
        <v>81</v>
      </c>
      <c r="F42" s="4" t="str">
        <f t="shared" si="1"/>
        <v>MNT00033</v>
      </c>
    </row>
    <row r="43" spans="1:6" x14ac:dyDescent="0.25">
      <c r="A43" s="3" t="s">
        <v>82</v>
      </c>
      <c r="B43" s="3">
        <v>13</v>
      </c>
      <c r="C43" s="3" t="s">
        <v>239</v>
      </c>
      <c r="D43" s="3" t="s">
        <v>239</v>
      </c>
      <c r="E43" s="4" t="s">
        <v>83</v>
      </c>
      <c r="F43" s="4" t="str">
        <f t="shared" si="1"/>
        <v>MNT00034</v>
      </c>
    </row>
    <row r="44" spans="1:6" x14ac:dyDescent="0.25">
      <c r="A44" s="3" t="s">
        <v>106</v>
      </c>
      <c r="B44" s="3">
        <v>14</v>
      </c>
      <c r="C44" s="3" t="s">
        <v>249</v>
      </c>
      <c r="D44" s="3" t="s">
        <v>249</v>
      </c>
      <c r="E44" s="4" t="s">
        <v>107</v>
      </c>
      <c r="F44" s="4" t="str">
        <f t="shared" si="1"/>
        <v>MNT00052</v>
      </c>
    </row>
    <row r="45" spans="1:6" x14ac:dyDescent="0.25">
      <c r="A45" s="3" t="s">
        <v>109</v>
      </c>
      <c r="B45" s="3">
        <v>1</v>
      </c>
      <c r="C45" s="3" t="s">
        <v>249</v>
      </c>
      <c r="D45" s="3" t="s">
        <v>249</v>
      </c>
      <c r="E45" s="4" t="s">
        <v>110</v>
      </c>
      <c r="F45" s="4" t="str">
        <f t="shared" si="1"/>
        <v>MNT00053</v>
      </c>
    </row>
    <row r="46" spans="1:6" x14ac:dyDescent="0.25">
      <c r="A46" s="3" t="s">
        <v>111</v>
      </c>
      <c r="B46" s="3">
        <v>14</v>
      </c>
      <c r="C46" s="3" t="s">
        <v>249</v>
      </c>
      <c r="D46" s="3" t="s">
        <v>249</v>
      </c>
      <c r="E46" s="4" t="s">
        <v>112</v>
      </c>
      <c r="F46" s="4" t="str">
        <f t="shared" si="1"/>
        <v>MNT00054</v>
      </c>
    </row>
    <row r="47" spans="1:6" x14ac:dyDescent="0.25">
      <c r="A47" s="3" t="s">
        <v>113</v>
      </c>
      <c r="B47" s="3">
        <v>14</v>
      </c>
      <c r="C47" s="3" t="s">
        <v>249</v>
      </c>
      <c r="D47" s="3" t="s">
        <v>249</v>
      </c>
      <c r="E47" s="4" t="s">
        <v>114</v>
      </c>
      <c r="F47" s="4" t="str">
        <f t="shared" si="1"/>
        <v>MNT00055</v>
      </c>
    </row>
    <row r="48" spans="1:6" x14ac:dyDescent="0.25">
      <c r="A48" s="3" t="s">
        <v>115</v>
      </c>
      <c r="B48" s="3">
        <v>14</v>
      </c>
      <c r="C48" s="3" t="s">
        <v>249</v>
      </c>
      <c r="D48" s="3" t="s">
        <v>249</v>
      </c>
      <c r="E48" s="4" t="s">
        <v>116</v>
      </c>
      <c r="F48" s="4" t="str">
        <f t="shared" si="1"/>
        <v>MNT00056</v>
      </c>
    </row>
    <row r="49" spans="1:6" x14ac:dyDescent="0.25">
      <c r="A49" s="3" t="s">
        <v>117</v>
      </c>
      <c r="B49" s="3">
        <v>14</v>
      </c>
      <c r="C49" s="3" t="s">
        <v>249</v>
      </c>
      <c r="D49" s="3" t="s">
        <v>249</v>
      </c>
      <c r="E49" s="4" t="s">
        <v>118</v>
      </c>
      <c r="F49" s="4" t="str">
        <f t="shared" si="1"/>
        <v>MNT00057</v>
      </c>
    </row>
    <row r="50" spans="1:6" x14ac:dyDescent="0.25">
      <c r="A50" s="3" t="s">
        <v>119</v>
      </c>
      <c r="B50" s="3">
        <v>14</v>
      </c>
      <c r="C50" s="3" t="s">
        <v>249</v>
      </c>
      <c r="D50" s="3" t="s">
        <v>249</v>
      </c>
      <c r="E50" s="4" t="s">
        <v>120</v>
      </c>
      <c r="F50" s="4" t="str">
        <f t="shared" si="1"/>
        <v>MNT00058</v>
      </c>
    </row>
    <row r="51" spans="1:6" x14ac:dyDescent="0.25">
      <c r="A51" s="3" t="s">
        <v>202</v>
      </c>
      <c r="B51" s="3">
        <v>14</v>
      </c>
      <c r="C51" s="3" t="s">
        <v>249</v>
      </c>
      <c r="D51" s="3" t="s">
        <v>249</v>
      </c>
      <c r="E51" s="4" t="s">
        <v>203</v>
      </c>
      <c r="F51" s="4" t="str">
        <f t="shared" si="1"/>
        <v>MNT00499</v>
      </c>
    </row>
    <row r="52" spans="1:6" x14ac:dyDescent="0.25">
      <c r="A52" s="3" t="s">
        <v>149</v>
      </c>
      <c r="B52" s="3">
        <v>15</v>
      </c>
      <c r="C52" s="4" t="s">
        <v>150</v>
      </c>
      <c r="D52" s="4" t="s">
        <v>150</v>
      </c>
      <c r="E52" s="4" t="s">
        <v>150</v>
      </c>
      <c r="F52" s="4" t="str">
        <f t="shared" si="1"/>
        <v>MNT00080</v>
      </c>
    </row>
    <row r="53" spans="1:6" x14ac:dyDescent="0.25">
      <c r="A53" s="3" t="s">
        <v>139</v>
      </c>
      <c r="B53" s="3">
        <v>16</v>
      </c>
      <c r="C53" s="3" t="s">
        <v>257</v>
      </c>
      <c r="D53" s="3" t="s">
        <v>257</v>
      </c>
      <c r="E53" s="4" t="s">
        <v>140</v>
      </c>
      <c r="F53" s="4" t="str">
        <f t="shared" si="1"/>
        <v>MNT00074</v>
      </c>
    </row>
    <row r="54" spans="1:6" x14ac:dyDescent="0.25">
      <c r="A54" s="3" t="s">
        <v>141</v>
      </c>
      <c r="B54" s="3">
        <v>17</v>
      </c>
      <c r="C54" s="4" t="s">
        <v>288</v>
      </c>
      <c r="D54" s="4" t="s">
        <v>142</v>
      </c>
      <c r="E54" s="4" t="s">
        <v>142</v>
      </c>
      <c r="F54" s="4" t="str">
        <f t="shared" si="1"/>
        <v>MNT00076</v>
      </c>
    </row>
    <row r="55" spans="1:6" x14ac:dyDescent="0.25">
      <c r="A55" s="3" t="s">
        <v>143</v>
      </c>
      <c r="B55" s="3">
        <v>18</v>
      </c>
      <c r="C55" s="4" t="s">
        <v>290</v>
      </c>
      <c r="D55" s="4" t="s">
        <v>144</v>
      </c>
      <c r="E55" s="4" t="s">
        <v>144</v>
      </c>
      <c r="F55" s="4" t="str">
        <f t="shared" si="1"/>
        <v>MNT00077</v>
      </c>
    </row>
    <row r="56" spans="1:6" x14ac:dyDescent="0.25">
      <c r="A56" s="3" t="s">
        <v>145</v>
      </c>
      <c r="B56" s="3">
        <v>17</v>
      </c>
      <c r="C56" s="4" t="s">
        <v>288</v>
      </c>
      <c r="D56" s="4" t="s">
        <v>146</v>
      </c>
      <c r="E56" s="4" t="s">
        <v>146</v>
      </c>
      <c r="F56" s="4" t="str">
        <f t="shared" si="1"/>
        <v>MNT00078</v>
      </c>
    </row>
    <row r="57" spans="1:6" x14ac:dyDescent="0.25">
      <c r="A57" s="3" t="s">
        <v>147</v>
      </c>
      <c r="B57" s="3">
        <v>17</v>
      </c>
      <c r="C57" s="4" t="s">
        <v>288</v>
      </c>
      <c r="D57" s="4" t="s">
        <v>148</v>
      </c>
      <c r="E57" s="4" t="s">
        <v>148</v>
      </c>
      <c r="F57" s="4" t="str">
        <f t="shared" si="1"/>
        <v>MNT00079</v>
      </c>
    </row>
    <row r="58" spans="1:6" x14ac:dyDescent="0.25">
      <c r="A58" s="3" t="s">
        <v>207</v>
      </c>
      <c r="B58" s="3">
        <v>19</v>
      </c>
      <c r="C58" s="4" t="s">
        <v>289</v>
      </c>
      <c r="D58" s="4" t="s">
        <v>276</v>
      </c>
      <c r="E58" s="4" t="s">
        <v>208</v>
      </c>
      <c r="F58" s="4" t="str">
        <f t="shared" si="1"/>
        <v>MNT01616</v>
      </c>
    </row>
    <row r="59" spans="1:6" x14ac:dyDescent="0.25">
      <c r="A59" s="3" t="s">
        <v>151</v>
      </c>
      <c r="B59" s="3">
        <v>17</v>
      </c>
      <c r="C59" s="4" t="s">
        <v>288</v>
      </c>
      <c r="D59" s="4" t="s">
        <v>152</v>
      </c>
      <c r="E59" s="4" t="s">
        <v>152</v>
      </c>
      <c r="F59" s="4" t="str">
        <f t="shared" si="1"/>
        <v>MNT00081</v>
      </c>
    </row>
    <row r="60" spans="1:6" x14ac:dyDescent="0.25">
      <c r="A60" s="3" t="s">
        <v>194</v>
      </c>
      <c r="B60" s="3">
        <v>20</v>
      </c>
      <c r="C60" s="3" t="s">
        <v>292</v>
      </c>
      <c r="D60" s="3" t="s">
        <v>238</v>
      </c>
      <c r="E60" s="4" t="s">
        <v>195</v>
      </c>
      <c r="F60" s="4" t="str">
        <f t="shared" si="1"/>
        <v>MNT00104</v>
      </c>
    </row>
    <row r="61" spans="1:6" x14ac:dyDescent="0.25">
      <c r="A61" s="3" t="s">
        <v>44</v>
      </c>
      <c r="B61" s="3">
        <v>21</v>
      </c>
      <c r="C61" s="3" t="s">
        <v>230</v>
      </c>
      <c r="D61" s="3" t="s">
        <v>230</v>
      </c>
      <c r="E61" s="4" t="s">
        <v>45</v>
      </c>
      <c r="F61" s="4" t="str">
        <f t="shared" si="1"/>
        <v>MNT00016</v>
      </c>
    </row>
    <row r="62" spans="1:6" x14ac:dyDescent="0.25">
      <c r="A62" s="3" t="s">
        <v>46</v>
      </c>
      <c r="B62" s="3">
        <v>21</v>
      </c>
      <c r="C62" s="3" t="s">
        <v>230</v>
      </c>
      <c r="D62" s="3" t="s">
        <v>230</v>
      </c>
      <c r="E62" s="4" t="s">
        <v>47</v>
      </c>
      <c r="F62" s="4" t="str">
        <f t="shared" si="1"/>
        <v>MNT00017</v>
      </c>
    </row>
    <row r="63" spans="1:6" x14ac:dyDescent="0.25">
      <c r="A63" s="3" t="s">
        <v>200</v>
      </c>
      <c r="B63" s="3">
        <v>21</v>
      </c>
      <c r="C63" s="3" t="s">
        <v>230</v>
      </c>
      <c r="D63" s="3" t="s">
        <v>230</v>
      </c>
      <c r="E63" s="4" t="s">
        <v>201</v>
      </c>
      <c r="F63" s="4" t="str">
        <f t="shared" si="1"/>
        <v>MNT00481</v>
      </c>
    </row>
    <row r="64" spans="1:6" x14ac:dyDescent="0.25">
      <c r="A64" s="3" t="s">
        <v>205</v>
      </c>
      <c r="B64" s="3">
        <v>21</v>
      </c>
      <c r="C64" s="3" t="s">
        <v>230</v>
      </c>
      <c r="D64" s="3" t="s">
        <v>230</v>
      </c>
      <c r="E64" s="4" t="s">
        <v>206</v>
      </c>
      <c r="F64" s="4" t="str">
        <f t="shared" si="1"/>
        <v>MNT00693</v>
      </c>
    </row>
    <row r="65" spans="1:6" x14ac:dyDescent="0.25">
      <c r="A65" s="3" t="s">
        <v>24</v>
      </c>
      <c r="B65" s="3">
        <v>22</v>
      </c>
      <c r="C65" s="3" t="s">
        <v>293</v>
      </c>
      <c r="D65" s="3" t="s">
        <v>228</v>
      </c>
      <c r="E65" s="4" t="s">
        <v>25</v>
      </c>
      <c r="F65" s="4" t="str">
        <f t="shared" si="1"/>
        <v>MNT00004</v>
      </c>
    </row>
    <row r="66" spans="1:6" x14ac:dyDescent="0.25">
      <c r="A66" s="3" t="s">
        <v>27</v>
      </c>
      <c r="B66" s="3">
        <v>22</v>
      </c>
      <c r="C66" s="3" t="s">
        <v>293</v>
      </c>
      <c r="D66" s="3" t="s">
        <v>228</v>
      </c>
      <c r="E66" s="4" t="s">
        <v>28</v>
      </c>
      <c r="F66" s="4" t="str">
        <f t="shared" si="1"/>
        <v>MNT00005</v>
      </c>
    </row>
    <row r="67" spans="1:6" x14ac:dyDescent="0.25">
      <c r="A67" s="3" t="s">
        <v>29</v>
      </c>
      <c r="B67" s="3">
        <v>22</v>
      </c>
      <c r="C67" s="3" t="s">
        <v>293</v>
      </c>
      <c r="D67" s="3" t="s">
        <v>228</v>
      </c>
      <c r="E67" s="4" t="s">
        <v>30</v>
      </c>
      <c r="F67" s="4" t="str">
        <f t="shared" ref="F67:F98" si="2">A67</f>
        <v>MNT00006</v>
      </c>
    </row>
    <row r="68" spans="1:6" x14ac:dyDescent="0.25">
      <c r="A68" s="3" t="s">
        <v>31</v>
      </c>
      <c r="B68" s="3">
        <v>22</v>
      </c>
      <c r="C68" s="3" t="s">
        <v>293</v>
      </c>
      <c r="D68" s="3" t="s">
        <v>228</v>
      </c>
      <c r="E68" s="4" t="s">
        <v>32</v>
      </c>
      <c r="F68" s="4" t="str">
        <f t="shared" si="2"/>
        <v>MNT00007</v>
      </c>
    </row>
    <row r="69" spans="1:6" x14ac:dyDescent="0.25">
      <c r="A69" s="3" t="s">
        <v>33</v>
      </c>
      <c r="B69" s="3">
        <v>22</v>
      </c>
      <c r="C69" s="3" t="s">
        <v>293</v>
      </c>
      <c r="D69" s="3" t="s">
        <v>228</v>
      </c>
      <c r="E69" s="4" t="s">
        <v>34</v>
      </c>
      <c r="F69" s="4" t="str">
        <f t="shared" si="2"/>
        <v>MNT00008</v>
      </c>
    </row>
    <row r="70" spans="1:6" x14ac:dyDescent="0.25">
      <c r="A70" s="3" t="s">
        <v>35</v>
      </c>
      <c r="B70" s="3">
        <v>22</v>
      </c>
      <c r="C70" s="3" t="s">
        <v>293</v>
      </c>
      <c r="D70" s="3" t="s">
        <v>229</v>
      </c>
      <c r="E70" s="4" t="s">
        <v>36</v>
      </c>
      <c r="F70" s="4" t="str">
        <f t="shared" si="2"/>
        <v>MNT00012</v>
      </c>
    </row>
    <row r="71" spans="1:6" x14ac:dyDescent="0.25">
      <c r="A71" s="3" t="s">
        <v>38</v>
      </c>
      <c r="B71" s="3">
        <v>22</v>
      </c>
      <c r="C71" s="3" t="s">
        <v>293</v>
      </c>
      <c r="D71" s="3" t="s">
        <v>229</v>
      </c>
      <c r="E71" s="4" t="s">
        <v>39</v>
      </c>
      <c r="F71" s="4" t="str">
        <f t="shared" si="2"/>
        <v>MNT00013</v>
      </c>
    </row>
    <row r="72" spans="1:6" x14ac:dyDescent="0.25">
      <c r="A72" s="3" t="s">
        <v>40</v>
      </c>
      <c r="B72" s="3">
        <v>22</v>
      </c>
      <c r="C72" s="3" t="s">
        <v>293</v>
      </c>
      <c r="D72" s="3" t="s">
        <v>229</v>
      </c>
      <c r="E72" s="4" t="s">
        <v>41</v>
      </c>
      <c r="F72" s="4" t="str">
        <f t="shared" si="2"/>
        <v>MNT00014</v>
      </c>
    </row>
    <row r="73" spans="1:6" x14ac:dyDescent="0.25">
      <c r="A73" s="3" t="s">
        <v>42</v>
      </c>
      <c r="B73" s="3">
        <v>22</v>
      </c>
      <c r="C73" s="3" t="s">
        <v>293</v>
      </c>
      <c r="D73" s="3" t="s">
        <v>229</v>
      </c>
      <c r="E73" s="4" t="s">
        <v>43</v>
      </c>
      <c r="F73" s="4" t="str">
        <f t="shared" si="2"/>
        <v>MNT00015</v>
      </c>
    </row>
    <row r="74" spans="1:6" x14ac:dyDescent="0.25">
      <c r="A74" s="3" t="s">
        <v>215</v>
      </c>
      <c r="B74" s="3">
        <v>23</v>
      </c>
      <c r="C74" s="3" t="s">
        <v>278</v>
      </c>
      <c r="D74" s="3" t="s">
        <v>278</v>
      </c>
      <c r="E74" s="4" t="s">
        <v>216</v>
      </c>
      <c r="F74" s="4" t="str">
        <f t="shared" si="2"/>
        <v>MNT01646</v>
      </c>
    </row>
    <row r="75" spans="1:6" x14ac:dyDescent="0.25">
      <c r="A75" s="3" t="s">
        <v>217</v>
      </c>
      <c r="B75" s="3">
        <v>24</v>
      </c>
      <c r="C75" s="3" t="s">
        <v>279</v>
      </c>
      <c r="D75" s="3" t="s">
        <v>279</v>
      </c>
      <c r="E75" s="4" t="s">
        <v>218</v>
      </c>
      <c r="F75" s="4" t="str">
        <f t="shared" si="2"/>
        <v>MNT01647</v>
      </c>
    </row>
    <row r="76" spans="1:6" x14ac:dyDescent="0.25">
      <c r="A76" s="3" t="s">
        <v>177</v>
      </c>
      <c r="B76" s="3">
        <v>25</v>
      </c>
      <c r="C76" s="3" t="s">
        <v>268</v>
      </c>
      <c r="D76" s="3" t="s">
        <v>269</v>
      </c>
      <c r="E76" s="4" t="s">
        <v>178</v>
      </c>
      <c r="F76" s="4" t="str">
        <f t="shared" si="2"/>
        <v>MNT00095</v>
      </c>
    </row>
    <row r="77" spans="1:6" x14ac:dyDescent="0.25">
      <c r="A77" s="3" t="s">
        <v>179</v>
      </c>
      <c r="B77" s="3">
        <v>25</v>
      </c>
      <c r="C77" s="3" t="s">
        <v>268</v>
      </c>
      <c r="D77" s="3" t="s">
        <v>269</v>
      </c>
      <c r="E77" s="4" t="s">
        <v>180</v>
      </c>
      <c r="F77" s="4" t="str">
        <f t="shared" si="2"/>
        <v>MNT00096</v>
      </c>
    </row>
    <row r="78" spans="1:6" x14ac:dyDescent="0.25">
      <c r="A78" s="3" t="s">
        <v>181</v>
      </c>
      <c r="B78" s="3">
        <v>25</v>
      </c>
      <c r="C78" s="3" t="s">
        <v>268</v>
      </c>
      <c r="D78" s="3" t="s">
        <v>269</v>
      </c>
      <c r="E78" s="4" t="s">
        <v>182</v>
      </c>
      <c r="F78" s="4" t="str">
        <f t="shared" si="2"/>
        <v>MNT00097</v>
      </c>
    </row>
    <row r="79" spans="1:6" x14ac:dyDescent="0.25">
      <c r="A79" s="3" t="s">
        <v>159</v>
      </c>
      <c r="B79" s="3">
        <v>26</v>
      </c>
      <c r="C79" s="3" t="s">
        <v>294</v>
      </c>
      <c r="D79" s="3" t="s">
        <v>261</v>
      </c>
      <c r="E79" s="4" t="s">
        <v>160</v>
      </c>
      <c r="F79" s="4" t="str">
        <f t="shared" si="2"/>
        <v>MNT00086</v>
      </c>
    </row>
    <row r="80" spans="1:6" x14ac:dyDescent="0.25">
      <c r="A80" s="3" t="s">
        <v>161</v>
      </c>
      <c r="B80" s="3">
        <v>26</v>
      </c>
      <c r="C80" s="3" t="s">
        <v>294</v>
      </c>
      <c r="D80" s="3" t="s">
        <v>262</v>
      </c>
      <c r="E80" s="4" t="s">
        <v>162</v>
      </c>
      <c r="F80" s="4" t="str">
        <f t="shared" si="2"/>
        <v>MNT00087</v>
      </c>
    </row>
    <row r="81" spans="1:6" x14ac:dyDescent="0.25">
      <c r="A81" s="3" t="s">
        <v>198</v>
      </c>
      <c r="B81" s="3">
        <v>27</v>
      </c>
      <c r="C81" s="3" t="s">
        <v>280</v>
      </c>
      <c r="D81" s="3" t="s">
        <v>280</v>
      </c>
      <c r="E81" s="4" t="s">
        <v>199</v>
      </c>
      <c r="F81" s="4" t="str">
        <f t="shared" si="2"/>
        <v>MNT00106</v>
      </c>
    </row>
    <row r="82" spans="1:6" x14ac:dyDescent="0.25">
      <c r="A82" s="3" t="s">
        <v>173</v>
      </c>
      <c r="B82" s="3">
        <v>28</v>
      </c>
      <c r="C82" s="3" t="s">
        <v>266</v>
      </c>
      <c r="D82" s="3" t="s">
        <v>266</v>
      </c>
      <c r="E82" s="4" t="s">
        <v>174</v>
      </c>
      <c r="F82" s="4" t="str">
        <f t="shared" si="2"/>
        <v>MNT00093</v>
      </c>
    </row>
    <row r="83" spans="1:6" x14ac:dyDescent="0.25">
      <c r="A83" s="3" t="s">
        <v>211</v>
      </c>
      <c r="B83" s="3">
        <v>28</v>
      </c>
      <c r="C83" s="3" t="s">
        <v>266</v>
      </c>
      <c r="D83" s="3" t="s">
        <v>266</v>
      </c>
      <c r="E83" s="4" t="s">
        <v>212</v>
      </c>
      <c r="F83" s="4" t="str">
        <f t="shared" si="2"/>
        <v>MNT01640</v>
      </c>
    </row>
    <row r="84" spans="1:6" x14ac:dyDescent="0.25">
      <c r="A84" s="3" t="s">
        <v>175</v>
      </c>
      <c r="B84" s="3">
        <v>29</v>
      </c>
      <c r="C84" s="3" t="s">
        <v>267</v>
      </c>
      <c r="D84" s="3" t="s">
        <v>267</v>
      </c>
      <c r="E84" s="4" t="s">
        <v>176</v>
      </c>
      <c r="F84" s="4" t="str">
        <f t="shared" si="2"/>
        <v>MNT00094</v>
      </c>
    </row>
    <row r="85" spans="1:6" x14ac:dyDescent="0.25">
      <c r="A85" s="3" t="s">
        <v>57</v>
      </c>
      <c r="B85" s="3">
        <v>30</v>
      </c>
      <c r="C85" s="3" t="s">
        <v>232</v>
      </c>
      <c r="D85" s="3" t="s">
        <v>232</v>
      </c>
      <c r="E85" s="4" t="s">
        <v>58</v>
      </c>
      <c r="F85" s="4" t="str">
        <f t="shared" si="2"/>
        <v>MNT00021</v>
      </c>
    </row>
    <row r="86" spans="1:6" x14ac:dyDescent="0.25">
      <c r="A86" s="3" t="s">
        <v>60</v>
      </c>
      <c r="B86" s="3">
        <v>30</v>
      </c>
      <c r="C86" s="3" t="s">
        <v>232</v>
      </c>
      <c r="D86" s="3" t="s">
        <v>232</v>
      </c>
      <c r="E86" s="4" t="s">
        <v>61</v>
      </c>
      <c r="F86" s="4" t="str">
        <f t="shared" si="2"/>
        <v>MNT00022</v>
      </c>
    </row>
    <row r="87" spans="1:6" x14ac:dyDescent="0.25">
      <c r="A87" s="3" t="s">
        <v>62</v>
      </c>
      <c r="B87" s="3">
        <v>30</v>
      </c>
      <c r="C87" s="3" t="s">
        <v>232</v>
      </c>
      <c r="D87" s="3" t="s">
        <v>232</v>
      </c>
      <c r="E87" s="4" t="s">
        <v>63</v>
      </c>
      <c r="F87" s="4" t="str">
        <f t="shared" si="2"/>
        <v>MNT00023</v>
      </c>
    </row>
    <row r="88" spans="1:6" x14ac:dyDescent="0.25">
      <c r="A88" s="3" t="s">
        <v>163</v>
      </c>
      <c r="B88" s="3">
        <v>31</v>
      </c>
      <c r="C88" s="3" t="s">
        <v>263</v>
      </c>
      <c r="D88" s="3" t="s">
        <v>263</v>
      </c>
      <c r="E88" s="4" t="s">
        <v>164</v>
      </c>
      <c r="F88" s="4" t="str">
        <f t="shared" si="2"/>
        <v>MNT00088</v>
      </c>
    </row>
    <row r="89" spans="1:6" x14ac:dyDescent="0.25">
      <c r="A89" s="3" t="s">
        <v>169</v>
      </c>
      <c r="B89" s="3">
        <v>32</v>
      </c>
      <c r="C89" s="3" t="s">
        <v>291</v>
      </c>
      <c r="D89" s="3" t="s">
        <v>236</v>
      </c>
      <c r="E89" s="4" t="s">
        <v>170</v>
      </c>
      <c r="F89" s="4" t="str">
        <f t="shared" si="2"/>
        <v>MNT00091</v>
      </c>
    </row>
    <row r="90" spans="1:6" x14ac:dyDescent="0.25">
      <c r="A90" s="3" t="s">
        <v>171</v>
      </c>
      <c r="B90" s="3">
        <v>32</v>
      </c>
      <c r="C90" s="3" t="s">
        <v>291</v>
      </c>
      <c r="D90" s="3" t="s">
        <v>237</v>
      </c>
      <c r="E90" s="4" t="s">
        <v>172</v>
      </c>
      <c r="F90" s="4" t="str">
        <f t="shared" si="2"/>
        <v>MNT00092</v>
      </c>
    </row>
    <row r="91" spans="1:6" x14ac:dyDescent="0.25">
      <c r="A91" s="3" t="s">
        <v>190</v>
      </c>
      <c r="B91" s="3">
        <v>33</v>
      </c>
      <c r="C91" s="3" t="s">
        <v>273</v>
      </c>
      <c r="D91" s="3" t="s">
        <v>273</v>
      </c>
      <c r="E91" s="4" t="s">
        <v>191</v>
      </c>
      <c r="F91" s="4" t="str">
        <f t="shared" si="2"/>
        <v>MNT00102</v>
      </c>
    </row>
    <row r="92" spans="1:6" x14ac:dyDescent="0.25">
      <c r="A92" s="3" t="s">
        <v>135</v>
      </c>
      <c r="B92" s="3">
        <v>34</v>
      </c>
      <c r="C92" s="3" t="s">
        <v>254</v>
      </c>
      <c r="D92" s="3" t="s">
        <v>254</v>
      </c>
      <c r="E92" s="4" t="s">
        <v>136</v>
      </c>
      <c r="F92" s="4" t="str">
        <f t="shared" si="2"/>
        <v>MNT00069</v>
      </c>
    </row>
    <row r="93" spans="1:6" x14ac:dyDescent="0.25">
      <c r="A93" s="3" t="s">
        <v>196</v>
      </c>
      <c r="B93" s="3">
        <v>35</v>
      </c>
      <c r="C93" s="3" t="s">
        <v>275</v>
      </c>
      <c r="D93" s="3" t="s">
        <v>275</v>
      </c>
      <c r="E93" s="4" t="s">
        <v>197</v>
      </c>
      <c r="F93" s="4" t="str">
        <f t="shared" si="2"/>
        <v>MNT00105</v>
      </c>
    </row>
    <row r="94" spans="1:6" x14ac:dyDescent="0.25">
      <c r="A94" s="3" t="s">
        <v>165</v>
      </c>
      <c r="B94" s="3">
        <v>36</v>
      </c>
      <c r="C94" s="3" t="s">
        <v>295</v>
      </c>
      <c r="D94" s="3" t="s">
        <v>264</v>
      </c>
      <c r="E94" s="4" t="s">
        <v>166</v>
      </c>
      <c r="F94" s="4" t="str">
        <f t="shared" si="2"/>
        <v>MNT00089</v>
      </c>
    </row>
    <row r="95" spans="1:6" x14ac:dyDescent="0.25">
      <c r="A95" s="3" t="s">
        <v>167</v>
      </c>
      <c r="B95" s="3">
        <v>36</v>
      </c>
      <c r="C95" s="3" t="s">
        <v>295</v>
      </c>
      <c r="D95" s="3" t="s">
        <v>265</v>
      </c>
      <c r="E95" s="4" t="s">
        <v>168</v>
      </c>
      <c r="F95" s="4" t="str">
        <f t="shared" si="2"/>
        <v>MNT00090</v>
      </c>
    </row>
    <row r="96" spans="1:6" x14ac:dyDescent="0.25">
      <c r="A96" s="3" t="s">
        <v>70</v>
      </c>
      <c r="B96" s="3">
        <v>37</v>
      </c>
      <c r="C96" s="3" t="s">
        <v>241</v>
      </c>
      <c r="D96" s="3" t="s">
        <v>241</v>
      </c>
      <c r="E96" s="4" t="s">
        <v>71</v>
      </c>
      <c r="F96" s="4" t="str">
        <f t="shared" si="2"/>
        <v>MNT00027</v>
      </c>
    </row>
    <row r="97" spans="1:6" x14ac:dyDescent="0.25">
      <c r="A97" s="3" t="s">
        <v>72</v>
      </c>
      <c r="B97" s="3">
        <v>37</v>
      </c>
      <c r="C97" s="3" t="s">
        <v>241</v>
      </c>
      <c r="D97" s="3" t="s">
        <v>241</v>
      </c>
      <c r="E97" s="4" t="s">
        <v>73</v>
      </c>
      <c r="F97" s="4" t="str">
        <f t="shared" si="2"/>
        <v>MNT00028</v>
      </c>
    </row>
    <row r="98" spans="1:6" x14ac:dyDescent="0.25">
      <c r="A98" s="3" t="s">
        <v>49</v>
      </c>
      <c r="B98" s="3">
        <v>38</v>
      </c>
      <c r="C98" s="3" t="s">
        <v>233</v>
      </c>
      <c r="D98" s="3" t="s">
        <v>233</v>
      </c>
      <c r="E98" s="4" t="s">
        <v>50</v>
      </c>
      <c r="F98" s="4" t="str">
        <f t="shared" si="2"/>
        <v>MNT00018</v>
      </c>
    </row>
    <row r="99" spans="1:6" x14ac:dyDescent="0.25">
      <c r="A99" s="3" t="s">
        <v>301</v>
      </c>
      <c r="B99" s="3">
        <v>39</v>
      </c>
      <c r="C99" s="3" t="s">
        <v>300</v>
      </c>
      <c r="D99" s="3" t="s">
        <v>303</v>
      </c>
      <c r="E99" s="4" t="s">
        <v>302</v>
      </c>
      <c r="F99" s="4" t="str">
        <f t="shared" ref="F99" si="3">A99</f>
        <v>MNT00000</v>
      </c>
    </row>
  </sheetData>
  <sortState xmlns:xlrd2="http://schemas.microsoft.com/office/spreadsheetml/2017/richdata2" ref="A3:F98">
    <sortCondition ref="D3:D9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169D-76E9-478E-B850-C3CD5CE684E5}">
  <dimension ref="A1:B40"/>
  <sheetViews>
    <sheetView workbookViewId="0">
      <selection activeCell="F107" sqref="F107"/>
    </sheetView>
  </sheetViews>
  <sheetFormatPr defaultRowHeight="15" x14ac:dyDescent="0.25"/>
  <cols>
    <col min="1" max="1" width="23.140625" bestFit="1" customWidth="1"/>
  </cols>
  <sheetData>
    <row r="1" spans="1:2" x14ac:dyDescent="0.25">
      <c r="A1" t="s">
        <v>304</v>
      </c>
      <c r="B1" t="s">
        <v>305</v>
      </c>
    </row>
    <row r="2" spans="1:2" ht="16.5" x14ac:dyDescent="0.25">
      <c r="A2" s="8" t="s">
        <v>300</v>
      </c>
      <c r="B2" s="24" t="s">
        <v>306</v>
      </c>
    </row>
    <row r="3" spans="1:2" ht="16.5" x14ac:dyDescent="0.25">
      <c r="A3" s="8" t="s">
        <v>281</v>
      </c>
      <c r="B3" s="24" t="s">
        <v>307</v>
      </c>
    </row>
    <row r="4" spans="1:2" ht="16.5" x14ac:dyDescent="0.25">
      <c r="A4" s="8" t="s">
        <v>243</v>
      </c>
      <c r="B4" s="24" t="s">
        <v>308</v>
      </c>
    </row>
    <row r="5" spans="1:2" ht="16.5" x14ac:dyDescent="0.25">
      <c r="A5" s="8" t="s">
        <v>250</v>
      </c>
      <c r="B5" s="24" t="s">
        <v>309</v>
      </c>
    </row>
    <row r="6" spans="1:2" ht="16.5" x14ac:dyDescent="0.25">
      <c r="A6" s="8" t="s">
        <v>274</v>
      </c>
      <c r="B6" s="24" t="s">
        <v>310</v>
      </c>
    </row>
    <row r="7" spans="1:2" ht="16.5" x14ac:dyDescent="0.25">
      <c r="A7" s="8" t="s">
        <v>284</v>
      </c>
      <c r="B7" s="24" t="s">
        <v>311</v>
      </c>
    </row>
    <row r="8" spans="1:2" ht="16.5" x14ac:dyDescent="0.25">
      <c r="A8" s="8" t="s">
        <v>283</v>
      </c>
      <c r="B8" s="24" t="s">
        <v>312</v>
      </c>
    </row>
    <row r="9" spans="1:2" ht="16.5" x14ac:dyDescent="0.25">
      <c r="A9" s="8" t="s">
        <v>234</v>
      </c>
      <c r="B9" s="24" t="s">
        <v>313</v>
      </c>
    </row>
    <row r="10" spans="1:2" ht="16.5" x14ac:dyDescent="0.25">
      <c r="A10" s="8" t="s">
        <v>285</v>
      </c>
      <c r="B10" s="24" t="s">
        <v>314</v>
      </c>
    </row>
    <row r="11" spans="1:2" ht="16.5" x14ac:dyDescent="0.25">
      <c r="A11" s="8" t="s">
        <v>231</v>
      </c>
      <c r="B11" s="24" t="s">
        <v>315</v>
      </c>
    </row>
    <row r="12" spans="1:2" ht="16.5" x14ac:dyDescent="0.25">
      <c r="A12" s="8" t="s">
        <v>240</v>
      </c>
      <c r="B12" s="24" t="s">
        <v>316</v>
      </c>
    </row>
    <row r="13" spans="1:2" ht="16.5" x14ac:dyDescent="0.25">
      <c r="A13" s="8" t="s">
        <v>286</v>
      </c>
      <c r="B13" s="24" t="s">
        <v>317</v>
      </c>
    </row>
    <row r="14" spans="1:2" ht="16.5" x14ac:dyDescent="0.25">
      <c r="A14" s="8" t="s">
        <v>287</v>
      </c>
      <c r="B14" s="24" t="s">
        <v>318</v>
      </c>
    </row>
    <row r="15" spans="1:2" ht="16.5" x14ac:dyDescent="0.25">
      <c r="A15" s="8" t="s">
        <v>239</v>
      </c>
      <c r="B15" s="24" t="s">
        <v>319</v>
      </c>
    </row>
    <row r="16" spans="1:2" ht="16.5" x14ac:dyDescent="0.25">
      <c r="A16" s="8" t="s">
        <v>249</v>
      </c>
      <c r="B16" s="24" t="s">
        <v>320</v>
      </c>
    </row>
    <row r="17" spans="1:2" x14ac:dyDescent="0.25">
      <c r="A17" s="8" t="s">
        <v>150</v>
      </c>
    </row>
    <row r="18" spans="1:2" x14ac:dyDescent="0.25">
      <c r="A18" s="8" t="s">
        <v>257</v>
      </c>
      <c r="B18" s="23"/>
    </row>
    <row r="19" spans="1:2" ht="16.5" x14ac:dyDescent="0.25">
      <c r="A19" s="8" t="s">
        <v>289</v>
      </c>
      <c r="B19" s="24"/>
    </row>
    <row r="20" spans="1:2" x14ac:dyDescent="0.25">
      <c r="A20" s="8" t="s">
        <v>288</v>
      </c>
      <c r="B20" s="23"/>
    </row>
    <row r="21" spans="1:2" ht="16.5" x14ac:dyDescent="0.25">
      <c r="A21" s="8" t="s">
        <v>290</v>
      </c>
      <c r="B21" s="24"/>
    </row>
    <row r="22" spans="1:2" x14ac:dyDescent="0.25">
      <c r="A22" s="8" t="s">
        <v>292</v>
      </c>
      <c r="B22" s="23"/>
    </row>
    <row r="23" spans="1:2" ht="16.5" x14ac:dyDescent="0.25">
      <c r="A23" s="8" t="s">
        <v>230</v>
      </c>
      <c r="B23" s="24"/>
    </row>
    <row r="24" spans="1:2" x14ac:dyDescent="0.25">
      <c r="A24" s="8" t="s">
        <v>293</v>
      </c>
      <c r="B24" s="23"/>
    </row>
    <row r="25" spans="1:2" x14ac:dyDescent="0.25">
      <c r="A25" s="8" t="s">
        <v>278</v>
      </c>
    </row>
    <row r="26" spans="1:2" x14ac:dyDescent="0.25">
      <c r="A26" s="8" t="s">
        <v>279</v>
      </c>
    </row>
    <row r="27" spans="1:2" x14ac:dyDescent="0.25">
      <c r="A27" s="8" t="s">
        <v>268</v>
      </c>
    </row>
    <row r="28" spans="1:2" x14ac:dyDescent="0.25">
      <c r="A28" s="8" t="s">
        <v>294</v>
      </c>
      <c r="B28" s="23"/>
    </row>
    <row r="29" spans="1:2" ht="16.5" x14ac:dyDescent="0.25">
      <c r="A29" s="8" t="s">
        <v>280</v>
      </c>
      <c r="B29" s="24"/>
    </row>
    <row r="30" spans="1:2" x14ac:dyDescent="0.25">
      <c r="A30" s="8" t="s">
        <v>266</v>
      </c>
    </row>
    <row r="31" spans="1:2" x14ac:dyDescent="0.25">
      <c r="A31" s="8" t="s">
        <v>267</v>
      </c>
    </row>
    <row r="32" spans="1:2" x14ac:dyDescent="0.25">
      <c r="A32" s="8" t="s">
        <v>232</v>
      </c>
    </row>
    <row r="33" spans="1:1" x14ac:dyDescent="0.25">
      <c r="A33" s="8" t="s">
        <v>263</v>
      </c>
    </row>
    <row r="34" spans="1:1" x14ac:dyDescent="0.25">
      <c r="A34" s="8" t="s">
        <v>291</v>
      </c>
    </row>
    <row r="35" spans="1:1" x14ac:dyDescent="0.25">
      <c r="A35" s="8" t="s">
        <v>273</v>
      </c>
    </row>
    <row r="36" spans="1:1" x14ac:dyDescent="0.25">
      <c r="A36" s="8" t="s">
        <v>254</v>
      </c>
    </row>
    <row r="37" spans="1:1" x14ac:dyDescent="0.25">
      <c r="A37" s="8" t="s">
        <v>275</v>
      </c>
    </row>
    <row r="38" spans="1:1" x14ac:dyDescent="0.25">
      <c r="A38" s="8" t="s">
        <v>295</v>
      </c>
    </row>
    <row r="39" spans="1:1" x14ac:dyDescent="0.25">
      <c r="A39" s="8" t="s">
        <v>241</v>
      </c>
    </row>
    <row r="40" spans="1:1" x14ac:dyDescent="0.25">
      <c r="A40" s="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COVER 1</vt:lpstr>
      <vt:lpstr>Resume STCF</vt:lpstr>
      <vt:lpstr>STCF </vt:lpstr>
      <vt:lpstr>STCF MP</vt:lpstr>
      <vt:lpstr>Data mesin Mtnc</vt:lpstr>
      <vt:lpstr>PIVOT2</vt:lpstr>
      <vt:lpstr>Data</vt:lpstr>
      <vt:lpstr>Sheet4</vt:lpstr>
      <vt:lpstr>'COVER 1'!Print_Area</vt:lpstr>
      <vt:lpstr>'Resume STCF'!Print_Area</vt:lpstr>
      <vt:lpstr>'STCF '!Print_Area</vt:lpstr>
      <vt:lpstr>'STCF 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</dc:creator>
  <cp:lastModifiedBy>Nizaar Musyaffa</cp:lastModifiedBy>
  <cp:lastPrinted>2026-04-29T03:33:48Z</cp:lastPrinted>
  <dcterms:created xsi:type="dcterms:W3CDTF">2022-12-14T08:57:11Z</dcterms:created>
  <dcterms:modified xsi:type="dcterms:W3CDTF">2026-05-04T03:30:20Z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5bea9-8cc4-4b52-b75c-6b36a73d6e9c_Enabled">
    <vt:lpwstr>true</vt:lpwstr>
  </property>
  <property fmtid="{D5CDD505-2E9C-101B-9397-08002B2CF9AE}" pid="3" name="MSIP_Label_60c5bea9-8cc4-4b52-b75c-6b36a73d6e9c_SetDate">
    <vt:lpwstr>2022-12-14T08:57:11Z</vt:lpwstr>
  </property>
  <property fmtid="{D5CDD505-2E9C-101B-9397-08002B2CF9AE}" pid="4" name="MSIP_Label_60c5bea9-8cc4-4b52-b75c-6b36a73d6e9c_Method">
    <vt:lpwstr>Privileged</vt:lpwstr>
  </property>
  <property fmtid="{D5CDD505-2E9C-101B-9397-08002B2CF9AE}" pid="5" name="MSIP_Label_60c5bea9-8cc4-4b52-b75c-6b36a73d6e9c_Name">
    <vt:lpwstr>General</vt:lpwstr>
  </property>
  <property fmtid="{D5CDD505-2E9C-101B-9397-08002B2CF9AE}" pid="6" name="MSIP_Label_60c5bea9-8cc4-4b52-b75c-6b36a73d6e9c_SiteId">
    <vt:lpwstr>c26d3ea9-9778-487b-8a9b-8b0243c534ad</vt:lpwstr>
  </property>
  <property fmtid="{D5CDD505-2E9C-101B-9397-08002B2CF9AE}" pid="7" name="MSIP_Label_60c5bea9-8cc4-4b52-b75c-6b36a73d6e9c_ActionId">
    <vt:lpwstr>a6d2a0a7-7ab6-4151-8cf2-ca8451fd78f2</vt:lpwstr>
  </property>
  <property fmtid="{D5CDD505-2E9C-101B-9397-08002B2CF9AE}" pid="8" name="MSIP_Label_60c5bea9-8cc4-4b52-b75c-6b36a73d6e9c_ContentBits">
    <vt:lpwstr>0</vt:lpwstr>
  </property>
</Properties>
</file>